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gt069\Downloads\GUI_iDatasyncr\"/>
    </mc:Choice>
  </mc:AlternateContent>
  <xr:revisionPtr revIDLastSave="0" documentId="13_ncr:1_{9C7C66C4-3438-43EF-AA3E-0045CA33274D}" xr6:coauthVersionLast="47" xr6:coauthVersionMax="47" xr10:uidLastSave="{00000000-0000-0000-0000-000000000000}"/>
  <workbookProtection workbookAlgorithmName="SHA-512" workbookHashValue="uJHQhGNPzDH/oKPoqlCzhyNV1+yyMfb2sIMipde+YP58m6QQrxym75NYDpq1ncUbNc9JLgdZfGa2qBfMtgNY/Q==" workbookSaltValue="fxwg5y4oiNj9Ceqw3gb75Q==" workbookSpinCount="100000" lockStructure="1"/>
  <bookViews>
    <workbookView xWindow="-120" yWindow="-120" windowWidth="29040" windowHeight="15720" tabRatio="788" activeTab="9" xr2:uid="{EB71F0F0-4ED3-4B26-A3EA-CDD9D9782923}"/>
  </bookViews>
  <sheets>
    <sheet name="OBJECT_REPO" sheetId="6" r:id="rId1"/>
    <sheet name="FUNC_MASTER" sheetId="8" r:id="rId2"/>
    <sheet name="SUBFUNC_MASTER" sheetId="10" state="hidden" r:id="rId3"/>
    <sheet name="FUNC_STEPS" sheetId="12" r:id="rId4"/>
    <sheet name="API" sheetId="15" state="hidden" r:id="rId5"/>
    <sheet name="FUNC_MAP" sheetId="11" r:id="rId6"/>
    <sheet name="SCN_FUNC_BATCHING" sheetId="16" state="hidden" r:id="rId7"/>
    <sheet name="SCN_STEPS_AUTOMATION" sheetId="17" r:id="rId8"/>
    <sheet name="RUN_TIME_DATA" sheetId="13" r:id="rId9"/>
    <sheet name="RUNCHART" sheetId="19" r:id="rId10"/>
    <sheet name="COMMON_DATA" sheetId="14" r:id="rId11"/>
    <sheet name="LIST_ENUMS" sheetId="5" r:id="rId12"/>
  </sheets>
  <functionGroups builtInGroupCount="19"/>
  <definedNames>
    <definedName name="_xlnm._FilterDatabase" localSheetId="4" hidden="1">API!$D$5:$U$5</definedName>
    <definedName name="_xlnm._FilterDatabase" localSheetId="5" hidden="1">FUNC_MAP!$D$5:$Q$5</definedName>
    <definedName name="_xlnm._FilterDatabase" localSheetId="3" hidden="1">FUNC_STEPS!$D$5:$U$5</definedName>
    <definedName name="_xlnm._FilterDatabase" localSheetId="0" hidden="1">OBJECT_REPO!$D$5:$M$5</definedName>
    <definedName name="_xlnm._FilterDatabase" localSheetId="6" hidden="1">SCN_FUNC_BATCHING!$D$5:$M$5</definedName>
    <definedName name="_xlnm._FilterDatabase" localSheetId="7" hidden="1">SCN_STEPS_AUTOMATION!$D$5:$AK$5</definedName>
    <definedName name="_xlnm._FilterDatabase" localSheetId="2" hidden="1">SUBFUNC_MASTER!$D$4:$I$5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  <c r="M1" i="6" s="1"/>
  <c r="B7" i="19"/>
  <c r="B7" i="16"/>
  <c r="N1" i="16" s="1"/>
  <c r="B7" i="17" l="1"/>
  <c r="R1" i="17" s="1"/>
  <c r="B7" i="15"/>
  <c r="N1" i="15" s="1"/>
  <c r="B7" i="14"/>
  <c r="J1" i="14" s="1"/>
  <c r="B7" i="13"/>
  <c r="B7" i="12"/>
  <c r="L1" i="12" s="1"/>
  <c r="B7" i="11" l="1"/>
  <c r="R1" i="11" s="1"/>
  <c r="B7" i="10"/>
  <c r="J1" i="10" s="1"/>
  <c r="B7" i="8"/>
  <c r="J1" i="8" s="1"/>
</calcChain>
</file>

<file path=xl/sharedStrings.xml><?xml version="1.0" encoding="utf-8"?>
<sst xmlns="http://schemas.openxmlformats.org/spreadsheetml/2006/main" count="356" uniqueCount="118">
  <si>
    <t>RUNMODE</t>
  </si>
  <si>
    <t>Y</t>
  </si>
  <si>
    <t>ACTION</t>
  </si>
  <si>
    <t>N</t>
  </si>
  <si>
    <t>LIST_ID</t>
  </si>
  <si>
    <t>SKIP_SS</t>
  </si>
  <si>
    <t>SKIP_STEP</t>
  </si>
  <si>
    <t>HARD_ASSERT</t>
  </si>
  <si>
    <t>KEYWORD</t>
  </si>
  <si>
    <t>REQUEST_TYPE</t>
  </si>
  <si>
    <t>E</t>
  </si>
  <si>
    <t>OR_ID</t>
  </si>
  <si>
    <t>SCREEN_NAME</t>
  </si>
  <si>
    <t>FIELD_NAME</t>
  </si>
  <si>
    <t>TYPE</t>
  </si>
  <si>
    <t>LOCATOR</t>
  </si>
  <si>
    <t>D</t>
  </si>
  <si>
    <t>C</t>
  </si>
  <si>
    <t>FUNC_ID</t>
  </si>
  <si>
    <t>FUNC_NAME</t>
  </si>
  <si>
    <t>Testing1</t>
  </si>
  <si>
    <t>dataLabel</t>
  </si>
  <si>
    <t>deleteFlag</t>
  </si>
  <si>
    <t>totRows</t>
  </si>
  <si>
    <t>cancelStatus</t>
  </si>
  <si>
    <t>dataSaveFlag</t>
  </si>
  <si>
    <t>selExcelRow</t>
  </si>
  <si>
    <t>SelTblRow</t>
  </si>
  <si>
    <t>SUBFUNC_ID</t>
  </si>
  <si>
    <t>SUBFUNC_NAME</t>
  </si>
  <si>
    <t>MAP_ID</t>
  </si>
  <si>
    <t>SCN_ID</t>
  </si>
  <si>
    <t>FUNC_SEQUENCE</t>
  </si>
  <si>
    <t>ITERATION</t>
  </si>
  <si>
    <t>ITERATION_SEQUENCE</t>
  </si>
  <si>
    <t>datalabel</t>
  </si>
  <si>
    <t>FNSTEP_ID</t>
  </si>
  <si>
    <t>STEP_ID</t>
  </si>
  <si>
    <t>STEP_DESCRIPTION</t>
  </si>
  <si>
    <t>dataLable</t>
  </si>
  <si>
    <t>subFuncId</t>
  </si>
  <si>
    <t>VARIABLE_NAME</t>
  </si>
  <si>
    <t>DATA</t>
  </si>
  <si>
    <t>COMMON_ID</t>
  </si>
  <si>
    <t>API_ID</t>
  </si>
  <si>
    <t>URI</t>
  </si>
  <si>
    <t>VARIABLES</t>
  </si>
  <si>
    <t>AUTH_TYPE</t>
  </si>
  <si>
    <t>AUTH_DATA</t>
  </si>
  <si>
    <t>HEADER_DATA</t>
  </si>
  <si>
    <t>REQUEST_BODY_DATA</t>
  </si>
  <si>
    <t>RESPONSE_VERIFICATION</t>
  </si>
  <si>
    <t>RESPONSE_RETRIEVE</t>
  </si>
  <si>
    <t>BATCH_ID</t>
  </si>
  <si>
    <t>SEQUENCE</t>
  </si>
  <si>
    <t>SCN_DESCRIPTION</t>
  </si>
  <si>
    <t>TAG</t>
  </si>
  <si>
    <t>RUNID</t>
  </si>
  <si>
    <t>DATASET_ID</t>
  </si>
  <si>
    <t>EXECUTE</t>
  </si>
  <si>
    <t>EXECUTED_BY</t>
  </si>
  <si>
    <t>DATA_01</t>
  </si>
  <si>
    <t>DATA_02</t>
  </si>
  <si>
    <t>EXECUTION_SEQUENCE</t>
  </si>
  <si>
    <t>OR_TYPE</t>
  </si>
  <si>
    <t>PLATFORM</t>
  </si>
  <si>
    <t>STEP_SEQUENCE</t>
  </si>
  <si>
    <t>textbox</t>
  </si>
  <si>
    <t>STEP_EXP_DESCRIPTION</t>
  </si>
  <si>
    <t>FIELD_TYPE</t>
  </si>
  <si>
    <t>input</t>
  </si>
  <si>
    <t>ENAME</t>
  </si>
  <si>
    <t>EVALUES</t>
  </si>
  <si>
    <t>api</t>
  </si>
  <si>
    <t>verify</t>
  </si>
  <si>
    <t>retrieve</t>
  </si>
  <si>
    <t>button</t>
  </si>
  <si>
    <t>text</t>
  </si>
  <si>
    <t>dropdown</t>
  </si>
  <si>
    <t>url</t>
  </si>
  <si>
    <t>web</t>
  </si>
  <si>
    <t>mobile</t>
  </si>
  <si>
    <t>get</t>
  </si>
  <si>
    <t>post</t>
  </si>
  <si>
    <t>put</t>
  </si>
  <si>
    <t>regression</t>
  </si>
  <si>
    <t>sanity</t>
  </si>
  <si>
    <t>smoke</t>
  </si>
  <si>
    <t>PASSWORD</t>
  </si>
  <si>
    <t>INIT_COMPLETE</t>
  </si>
  <si>
    <t>DATA_03</t>
  </si>
  <si>
    <t>DATA_04</t>
  </si>
  <si>
    <t>DATA_05</t>
  </si>
  <si>
    <t>DATA_06</t>
  </si>
  <si>
    <t>DATA_07</t>
  </si>
  <si>
    <t>DATA_08</t>
  </si>
  <si>
    <t>DATA_09</t>
  </si>
  <si>
    <t>DATA_010</t>
  </si>
  <si>
    <t>RUN_NAME</t>
  </si>
  <si>
    <t>EXECUTED_DATE</t>
  </si>
  <si>
    <t>IS_EXECUTION</t>
  </si>
  <si>
    <t>DO_NOT_DELETE</t>
  </si>
  <si>
    <t>ITERATION_COUNT</t>
  </si>
  <si>
    <t>DATA_10</t>
  </si>
  <si>
    <t>FN_001</t>
  </si>
  <si>
    <t>5E2621B5A6C1FCB5DEDE9D12EB5557DA:4BE2D3C54175920705D8A9AAFE78C054ADEB81289387B27ABBBED0AFEAF39197</t>
  </si>
  <si>
    <t>Testing</t>
  </si>
  <si>
    <t>x</t>
  </si>
  <si>
    <t>CD:cyclos_url</t>
  </si>
  <si>
    <t>y</t>
  </si>
  <si>
    <t>CD:cyclos_user1</t>
  </si>
  <si>
    <t>CD:cyclos_pwd1</t>
  </si>
  <si>
    <t>VAR:username</t>
  </si>
  <si>
    <t>The payment was successfully processed</t>
  </si>
  <si>
    <t>CD:cyclos_user2</t>
  </si>
  <si>
    <t>CD:cyclos_pwd2</t>
  </si>
  <si>
    <t>The payment was successfully processed 1</t>
  </si>
  <si>
    <t>UK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</si>
</sst>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\ hh:mm:ss"/>
    <numFmt numFmtId="165" formatCode="dd\-mmm\-yyyy\ hh:mm:ss\ AM/PM"/>
  </numFmts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.5"/>
      <color rgb="FFA31515"/>
      <name val="Calibri"/>
      <family val="2"/>
      <scheme val="minor"/>
    </font>
    <font>
      <sz val="5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.5"/>
      <color rgb="FFA31515"/>
      <name val="Consolas"/>
      <family val="3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A31515"/>
      <name val="Calibri"/>
      <family val="2"/>
      <scheme val="minor"/>
    </font>
    <font>
      <sz val="11"/>
      <color rgb="FFA31515"/>
      <name val="Calibri"/>
      <family val="2"/>
      <scheme val="minor"/>
    </font>
    <font>
      <sz val="11"/>
      <color rgb="FFA31515"/>
      <name val="Consolas"/>
      <family val="3"/>
    </font>
    <font>
      <sz val="11"/>
      <color rgb="FF0A0908"/>
      <name val="Consolas"/>
      <family val="3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F161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E3E8E8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01B1A3"/>
      </top>
      <bottom/>
      <diagonal/>
    </border>
    <border>
      <left style="thin">
        <color rgb="FFDEE2E6"/>
      </left>
      <right/>
      <top style="medium">
        <color rgb="FF01B1A3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01B1A3"/>
      </bottom>
      <diagonal/>
    </border>
    <border>
      <left style="medium">
        <color rgb="FFDEE2E6"/>
      </left>
      <right/>
      <top/>
      <bottom/>
      <diagonal/>
    </border>
    <border>
      <left style="thin">
        <color rgb="FFDEE2E6"/>
      </left>
      <right/>
      <top/>
      <bottom style="medium">
        <color rgb="FF01B1A3"/>
      </bottom>
      <diagonal/>
    </border>
    <border>
      <left/>
      <right/>
      <top/>
      <bottom style="medium">
        <color rgb="FF01B1A3"/>
      </bottom>
      <diagonal/>
    </border>
    <border>
      <left/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DEE2E6"/>
      </left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CED4DA"/>
      </left>
      <right style="thin">
        <color rgb="FFCED4DA"/>
      </right>
      <top style="thin">
        <color rgb="FFCED4DA"/>
      </top>
      <bottom style="thin">
        <color rgb="FFCED4DA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01B1A3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0" fontId="2" fillId="0" borderId="0"/>
  </cellStyleXfs>
  <cellXfs count="60">
    <xf numFmtId="0" fontId="0" fillId="0" borderId="0" xfId="0"/>
    <xf numFmtId="0" fontId="0" fillId="2" borderId="0" xfId="0" applyFill="1"/>
    <xf numFmtId="0" fontId="4" fillId="0" borderId="0" xfId="1" applyFont="1" applyAlignment="1">
      <alignment vertic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2" xfId="0" applyFill="1" applyBorder="1"/>
    <xf numFmtId="0" fontId="4" fillId="0" borderId="3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6" fillId="4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8" fillId="0" borderId="0" xfId="1" applyFont="1" applyAlignment="1">
      <alignment horizontal="right"/>
    </xf>
    <xf numFmtId="0" fontId="9" fillId="0" borderId="0" xfId="0" applyFont="1" applyProtection="1">
      <protection locked="0"/>
    </xf>
    <xf numFmtId="0" fontId="12" fillId="0" borderId="0" xfId="0" applyFont="1" applyAlignment="1" applyProtection="1">
      <alignment horizontal="right" vertical="center" indent="1"/>
      <protection locked="0"/>
    </xf>
    <xf numFmtId="0" fontId="0" fillId="0" borderId="0" xfId="0" applyAlignment="1">
      <alignment horizontal="right" indent="1"/>
    </xf>
    <xf numFmtId="0" fontId="11" fillId="0" borderId="0" xfId="0" applyFont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10" fillId="5" borderId="5" xfId="0" applyFont="1" applyFill="1" applyBorder="1" applyAlignment="1">
      <alignment horizontal="center" vertical="center"/>
    </xf>
    <xf numFmtId="0" fontId="0" fillId="0" borderId="6" xfId="0" applyBorder="1"/>
    <xf numFmtId="0" fontId="3" fillId="5" borderId="7" xfId="0" applyFont="1" applyFill="1" applyBorder="1" applyAlignment="1">
      <alignment horizontal="left" vertical="center"/>
    </xf>
    <xf numFmtId="0" fontId="3" fillId="5" borderId="8" xfId="0" applyFont="1" applyFill="1" applyBorder="1" applyAlignment="1">
      <alignment horizontal="left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left" vertical="center" indent="1"/>
    </xf>
    <xf numFmtId="0" fontId="14" fillId="0" borderId="0" xfId="1" applyFont="1" applyAlignment="1">
      <alignment horizontal="right"/>
    </xf>
    <xf numFmtId="0" fontId="14" fillId="0" borderId="0" xfId="1" applyFont="1" applyAlignment="1">
      <alignment horizontal="left"/>
    </xf>
    <xf numFmtId="0" fontId="14" fillId="0" borderId="0" xfId="0" applyFont="1" applyAlignment="1">
      <alignment horizontal="right"/>
    </xf>
    <xf numFmtId="0" fontId="12" fillId="0" borderId="0" xfId="0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9" fillId="0" borderId="0" xfId="0" applyFont="1"/>
    <xf numFmtId="0" fontId="13" fillId="4" borderId="11" xfId="0" applyFont="1" applyFill="1" applyBorder="1" applyAlignment="1">
      <alignment horizontal="left" vertical="center" indent="1"/>
    </xf>
    <xf numFmtId="0" fontId="13" fillId="3" borderId="11" xfId="0" applyFont="1" applyFill="1" applyBorder="1" applyAlignment="1">
      <alignment horizontal="left" vertical="center" indent="1"/>
    </xf>
    <xf numFmtId="0" fontId="13" fillId="3" borderId="11" xfId="0" applyFont="1" applyFill="1" applyBorder="1" applyAlignment="1">
      <alignment horizontal="left" vertical="center" wrapText="1"/>
    </xf>
    <xf numFmtId="0" fontId="10" fillId="5" borderId="12" xfId="0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3" fillId="5" borderId="12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left" vertical="center" wrapText="1"/>
    </xf>
    <xf numFmtId="0" fontId="13" fillId="6" borderId="13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/>
    <xf numFmtId="0" fontId="15" fillId="0" borderId="0" xfId="0" applyFont="1" applyAlignment="1" applyProtection="1">
      <alignment horizontal="left" vertical="center" indent="1"/>
      <protection locked="0"/>
    </xf>
    <xf numFmtId="0" fontId="16" fillId="0" borderId="0" xfId="0" applyFont="1"/>
    <xf numFmtId="0" fontId="10" fillId="5" borderId="0" xfId="0" applyFont="1" applyFill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5" fillId="0" borderId="0" xfId="1" applyFont="1" applyAlignment="1">
      <alignment vertical="center"/>
    </xf>
    <xf numFmtId="0" fontId="1" fillId="0" borderId="0" xfId="0" applyFont="1"/>
    <xf numFmtId="0" fontId="13" fillId="6" borderId="13" xfId="0" applyFont="1" applyFill="1" applyBorder="1" applyAlignment="1" applyProtection="1">
      <alignment horizontal="left" vertical="center"/>
      <protection locked="0"/>
    </xf>
    <xf numFmtId="14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3" fillId="5" borderId="12" xfId="0" applyNumberFormat="1" applyFont="1" applyFill="1" applyBorder="1" applyAlignment="1">
      <alignment horizontal="center" vertical="center"/>
    </xf>
    <xf numFmtId="0" fontId="13" fillId="0" borderId="13" xfId="0" applyFont="1" applyFill="1" applyBorder="1" applyAlignment="1" applyProtection="1">
      <alignment horizontal="left" vertical="center" indent="1"/>
    </xf>
    <xf numFmtId="0" fontId="13" fillId="0" borderId="13" xfId="0" applyNumberFormat="1" applyFont="1" applyFill="1" applyBorder="1" applyAlignment="1" applyProtection="1">
      <alignment horizontal="left" vertical="center" indent="1"/>
    </xf>
    <xf numFmtId="0" fontId="13" fillId="0" borderId="13" xfId="0" applyFont="1" applyFill="1" applyBorder="1" applyAlignment="1" applyProtection="1">
      <alignment horizontal="left" vertical="center"/>
    </xf>
    <xf numFmtId="0" fontId="13" fillId="0" borderId="11" xfId="0" applyFont="1" applyFill="1" applyBorder="1" applyAlignment="1" applyProtection="1">
      <alignment horizontal="left" vertical="center" indent="1"/>
    </xf>
    <xf numFmtId="165" fontId="13" fillId="0" borderId="11" xfId="0" applyNumberFormat="1" applyFont="1" applyFill="1" applyBorder="1" applyAlignment="1" applyProtection="1">
      <alignment horizontal="left" vertical="center" indent="1"/>
    </xf>
    <xf numFmtId="14" fontId="13" fillId="0" borderId="11" xfId="0" applyNumberFormat="1" applyFont="1" applyFill="1" applyBorder="1" applyAlignment="1" applyProtection="1">
      <alignment horizontal="left" vertical="center" indent="1"/>
    </xf>
  </cellXfs>
  <cellStyles count="2">
    <cellStyle name="Normal" xfId="0" builtinId="0"/>
    <cellStyle name="Normal 2" xfId="1" xr:uid="{1D65D9C2-F3C3-4F40-8110-F4C1C9CA4518}"/>
  </cellStyles>
  <dxfs count="213"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numFmt numFmtId="165" formatCode="dd\-mmm\-yyyy\ hh:mm:ss\ AM/PM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 outline="0">
        <top style="thin">
          <color rgb="FFA6A6A6"/>
        </top>
      </border>
    </dxf>
    <dxf>
      <border outline="0">
        <left style="thin">
          <color rgb="FFA6A6A6"/>
        </left>
        <right style="thin">
          <color rgb="FFA6A6A6"/>
        </right>
        <top style="thin">
          <color rgb="FFA6A6A6"/>
        </top>
        <bottom style="thin">
          <color rgb="FFA6A6A6"/>
        </bottom>
      </border>
    </dxf>
    <dxf>
      <border outline="0">
        <bottom style="thin">
          <color rgb="FFA6A6A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rgb="FFA31515"/>
        <name val="Consolas"/>
        <family val="3"/>
        <scheme val="none"/>
      </font>
      <fill>
        <patternFill patternType="solid">
          <fgColor indexed="64"/>
          <bgColor rgb="FFDDD9C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A6A6A6"/>
        </left>
        <right style="thin">
          <color rgb="FFA6A6A6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</dxfs>
  <tableStyles count="0" defaultTableStyle="TableStyleMedium2" defaultPivotStyle="PivotStyleLight16"/>
  <colors>
    <mruColors>
      <color rgb="FF01B1A3"/>
      <color rgb="FFA31515"/>
      <color rgb="FFE3E8E8"/>
      <color rgb="FF57CC99"/>
      <color rgb="FF0F161D"/>
      <color rgb="FFDEE2E6"/>
      <color rgb="FFF8F9FA"/>
      <color rgb="FFCCE3DE"/>
      <color rgb="FFEAF4F4"/>
      <color rgb="FF0081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5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4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3.png"/><Relationship Id="rId7" Type="http://schemas.openxmlformats.org/officeDocument/2006/relationships/image" Target="../media/image2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5</xdr:row>
      <xdr:rowOff>14775</xdr:rowOff>
    </xdr:from>
    <xdr:to>
      <xdr:col>3</xdr:col>
      <xdr:colOff>223350</xdr:colOff>
      <xdr:row>5</xdr:row>
      <xdr:rowOff>194775</xdr:rowOff>
    </xdr:to>
    <xdr:pic macro="[0]!o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5</xdr:row>
      <xdr:rowOff>14775</xdr:rowOff>
    </xdr:from>
    <xdr:to>
      <xdr:col>4</xdr:col>
      <xdr:colOff>223350</xdr:colOff>
      <xdr:row>5</xdr:row>
      <xdr:rowOff>194775</xdr:rowOff>
    </xdr:to>
    <xdr:pic macro="[0]!o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9</xdr:row>
      <xdr:rowOff>14775</xdr:rowOff>
    </xdr:from>
    <xdr:to>
      <xdr:col>5</xdr:col>
      <xdr:colOff>223350</xdr:colOff>
      <xdr:row>9</xdr:row>
      <xdr:rowOff>194775</xdr:rowOff>
    </xdr:to>
    <xdr:pic macro="[0]!orCancel">
      <xdr:nvPicPr>
        <xdr:cNvPr id="5" name="btnCancel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2341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6" name="txtHeade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OBJECT REPOSITORY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9</xdr:col>
      <xdr:colOff>1191491</xdr:colOff>
      <xdr:row>0</xdr:row>
      <xdr:rowOff>733309</xdr:rowOff>
    </xdr:to>
    <xdr:sp macro="" textlink="$B$5">
      <xdr:nvSpPr>
        <xdr:cNvPr id="7" name="dataLabe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8" name="txtLabel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SCREEN NAME :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652463</xdr:colOff>
      <xdr:row>0</xdr:row>
      <xdr:rowOff>321881</xdr:rowOff>
    </xdr:to>
    <xdr:sp macro="dbConnect" textlink="">
      <xdr:nvSpPr>
        <xdr:cNvPr id="19" name="ConnectionStatus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10</xdr:col>
      <xdr:colOff>550723</xdr:colOff>
      <xdr:row>0</xdr:row>
      <xdr:rowOff>0</xdr:rowOff>
    </xdr:from>
    <xdr:to>
      <xdr:col>10</xdr:col>
      <xdr:colOff>1104900</xdr:colOff>
      <xdr:row>0</xdr:row>
      <xdr:rowOff>200025</xdr:rowOff>
    </xdr:to>
    <xdr:sp macro="" textlink="">
      <xdr:nvSpPr>
        <xdr:cNvPr id="21" name="txtSection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6141898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11</xdr:col>
      <xdr:colOff>268435</xdr:colOff>
      <xdr:row>0</xdr:row>
      <xdr:rowOff>0</xdr:rowOff>
    </xdr:from>
    <xdr:to>
      <xdr:col>11</xdr:col>
      <xdr:colOff>268435</xdr:colOff>
      <xdr:row>1</xdr:row>
      <xdr:rowOff>5386</xdr:rowOff>
    </xdr:to>
    <xdr:cxnSp macro="">
      <xdr:nvCxnSpPr>
        <xdr:cNvPr id="11" name="separator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895729</xdr:colOff>
      <xdr:row>0</xdr:row>
      <xdr:rowOff>212598</xdr:rowOff>
    </xdr:from>
    <xdr:to>
      <xdr:col>11</xdr:col>
      <xdr:colOff>185583</xdr:colOff>
      <xdr:row>0</xdr:row>
      <xdr:rowOff>736899</xdr:rowOff>
    </xdr:to>
    <xdr:pic macro="[0]!orSave">
      <xdr:nvPicPr>
        <xdr:cNvPr id="22" name="saveO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86904" y="2125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10</xdr:col>
      <xdr:colOff>333008</xdr:colOff>
      <xdr:row>0</xdr:row>
      <xdr:rowOff>219075</xdr:rowOff>
    </xdr:from>
    <xdr:to>
      <xdr:col>10</xdr:col>
      <xdr:colOff>735379</xdr:colOff>
      <xdr:row>0</xdr:row>
      <xdr:rowOff>737280</xdr:rowOff>
    </xdr:to>
    <xdr:pic macro="[0]!orAdd">
      <xdr:nvPicPr>
        <xdr:cNvPr id="23" name="addOR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183" y="219075"/>
          <a:ext cx="402371" cy="518205"/>
        </a:xfrm>
        <a:prstGeom prst="rect">
          <a:avLst/>
        </a:prstGeom>
      </xdr:spPr>
    </xdr:pic>
    <xdr:clientData/>
  </xdr:twoCellAnchor>
  <xdr:twoCellAnchor editAs="absolute">
    <xdr:from>
      <xdr:col>10</xdr:col>
      <xdr:colOff>225140</xdr:colOff>
      <xdr:row>0</xdr:row>
      <xdr:rowOff>0</xdr:rowOff>
    </xdr:from>
    <xdr:to>
      <xdr:col>10</xdr:col>
      <xdr:colOff>225140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581631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2390781</xdr:colOff>
      <xdr:row>0</xdr:row>
      <xdr:rowOff>261474</xdr:rowOff>
    </xdr:from>
    <xdr:to>
      <xdr:col>10</xdr:col>
      <xdr:colOff>76207</xdr:colOff>
      <xdr:row>0</xdr:row>
      <xdr:rowOff>765474</xdr:rowOff>
    </xdr:to>
    <xdr:pic macro="[0]!SelectScnName">
      <xdr:nvPicPr>
        <xdr:cNvPr id="24" name="selectScreen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 l="13229" r="20625"/>
        <a:stretch/>
      </xdr:blipFill>
      <xdr:spPr>
        <a:xfrm>
          <a:off x="5334006" y="261474"/>
          <a:ext cx="33337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1878721</xdr:colOff>
      <xdr:row>0</xdr:row>
      <xdr:rowOff>261474</xdr:rowOff>
    </xdr:from>
    <xdr:to>
      <xdr:col>9</xdr:col>
      <xdr:colOff>2264127</xdr:colOff>
      <xdr:row>0</xdr:row>
      <xdr:rowOff>765474</xdr:rowOff>
    </xdr:to>
    <xdr:pic macro="[0]!AddModScnName">
      <xdr:nvPicPr>
        <xdr:cNvPr id="25" name="editScree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1946" y="261474"/>
          <a:ext cx="38540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1314450</xdr:colOff>
      <xdr:row>0</xdr:row>
      <xdr:rowOff>261474</xdr:rowOff>
    </xdr:from>
    <xdr:to>
      <xdr:col>9</xdr:col>
      <xdr:colOff>1713968</xdr:colOff>
      <xdr:row>0</xdr:row>
      <xdr:rowOff>765474</xdr:rowOff>
    </xdr:to>
    <xdr:pic macro="[0]!AddModScnName">
      <xdr:nvPicPr>
        <xdr:cNvPr id="26" name="addScree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261474"/>
          <a:ext cx="399518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1284148</xdr:colOff>
      <xdr:row>0</xdr:row>
      <xdr:rowOff>1</xdr:rowOff>
    </xdr:from>
    <xdr:to>
      <xdr:col>10</xdr:col>
      <xdr:colOff>114300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227373" y="1"/>
          <a:ext cx="1478102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OBJECT REPOSITORY</a:t>
          </a:r>
        </a:p>
      </xdr:txBody>
    </xdr:sp>
    <xdr:clientData/>
  </xdr:twoCellAnchor>
  <xdr:twoCellAnchor editAs="absolute">
    <xdr:from>
      <xdr:col>9</xdr:col>
      <xdr:colOff>1181105</xdr:colOff>
      <xdr:row>0</xdr:row>
      <xdr:rowOff>0</xdr:rowOff>
    </xdr:from>
    <xdr:to>
      <xdr:col>9</xdr:col>
      <xdr:colOff>1181105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1967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1967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9</xdr:row>
      <xdr:rowOff>14775</xdr:rowOff>
    </xdr:from>
    <xdr:to>
      <xdr:col>5</xdr:col>
      <xdr:colOff>223350</xdr:colOff>
      <xdr:row>9</xdr:row>
      <xdr:rowOff>194775</xdr:rowOff>
    </xdr:to>
    <xdr:pic macro="[0]!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16742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9</xdr:col>
      <xdr:colOff>95250</xdr:colOff>
      <xdr:row>0</xdr:row>
      <xdr:rowOff>200025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401785</xdr:colOff>
      <xdr:row>0</xdr:row>
      <xdr:rowOff>0</xdr:rowOff>
    </xdr:from>
    <xdr:to>
      <xdr:col>9</xdr:col>
      <xdr:colOff>401785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209550</xdr:rowOff>
    </xdr:from>
    <xdr:to>
      <xdr:col>9</xdr:col>
      <xdr:colOff>245790</xdr:colOff>
      <xdr:row>0</xdr:row>
      <xdr:rowOff>749550</xdr:rowOff>
    </xdr:to>
    <xdr:pic macro="[0]!FuncMasterSave">
      <xdr:nvPicPr>
        <xdr:cNvPr id="19" name="saveFuncMaster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955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209550</xdr:rowOff>
    </xdr:from>
    <xdr:to>
      <xdr:col>8</xdr:col>
      <xdr:colOff>3066871</xdr:colOff>
      <xdr:row>0</xdr:row>
      <xdr:rowOff>749550</xdr:rowOff>
    </xdr:to>
    <xdr:pic macro="[0]!FuncMasterAdd">
      <xdr:nvPicPr>
        <xdr:cNvPr id="20" name="addFuncMaster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955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209549</xdr:rowOff>
    </xdr:from>
    <xdr:to>
      <xdr:col>8</xdr:col>
      <xdr:colOff>2409825</xdr:colOff>
      <xdr:row>0</xdr:row>
      <xdr:rowOff>805160</xdr:rowOff>
    </xdr:to>
    <xdr:pic macro="[0]!FuncMasterfetch">
      <xdr:nvPicPr>
        <xdr:cNvPr id="21" name="viewFuncMaster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9549"/>
          <a:ext cx="495300" cy="5956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18</xdr:row>
      <xdr:rowOff>14775</xdr:rowOff>
    </xdr:from>
    <xdr:to>
      <xdr:col>3</xdr:col>
      <xdr:colOff>223350</xdr:colOff>
      <xdr:row>18</xdr:row>
      <xdr:rowOff>194775</xdr:rowOff>
    </xdr:to>
    <xdr:pic macro="[0]!Sub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41200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18</xdr:row>
      <xdr:rowOff>14775</xdr:rowOff>
    </xdr:from>
    <xdr:to>
      <xdr:col>4</xdr:col>
      <xdr:colOff>223350</xdr:colOff>
      <xdr:row>18</xdr:row>
      <xdr:rowOff>194775</xdr:rowOff>
    </xdr:to>
    <xdr:pic macro="[0]!Sub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41200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Sub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SUBFUNC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8</xdr:col>
      <xdr:colOff>3476625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8</xdr:col>
      <xdr:colOff>3783160</xdr:colOff>
      <xdr:row>0</xdr:row>
      <xdr:rowOff>0</xdr:rowOff>
    </xdr:from>
    <xdr:to>
      <xdr:col>8</xdr:col>
      <xdr:colOff>3783160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200025</xdr:rowOff>
    </xdr:from>
    <xdr:to>
      <xdr:col>8</xdr:col>
      <xdr:colOff>3627165</xdr:colOff>
      <xdr:row>0</xdr:row>
      <xdr:rowOff>740025</xdr:rowOff>
    </xdr:to>
    <xdr:pic macro="[0]!SubFuncMasterSave">
      <xdr:nvPicPr>
        <xdr:cNvPr id="11" name="saveFuncMaster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0025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200025</xdr:rowOff>
    </xdr:from>
    <xdr:to>
      <xdr:col>8</xdr:col>
      <xdr:colOff>3066871</xdr:colOff>
      <xdr:row>0</xdr:row>
      <xdr:rowOff>740025</xdr:rowOff>
    </xdr:to>
    <xdr:pic macro="[0]!SubFuncMasterAdd">
      <xdr:nvPicPr>
        <xdr:cNvPr id="12" name="addFuncMaste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0025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200024</xdr:rowOff>
    </xdr:from>
    <xdr:to>
      <xdr:col>8</xdr:col>
      <xdr:colOff>2413537</xdr:colOff>
      <xdr:row>0</xdr:row>
      <xdr:rowOff>800099</xdr:rowOff>
    </xdr:to>
    <xdr:pic macro="[0]!SubFuncMasterFetch">
      <xdr:nvPicPr>
        <xdr:cNvPr id="13" name="viewFuncMaster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0024"/>
          <a:ext cx="499012" cy="6000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Steps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Steps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9</xdr:row>
      <xdr:rowOff>14775</xdr:rowOff>
    </xdr:from>
    <xdr:to>
      <xdr:col>5</xdr:col>
      <xdr:colOff>223350</xdr:colOff>
      <xdr:row>9</xdr:row>
      <xdr:rowOff>194775</xdr:rowOff>
    </xdr:to>
    <xdr:pic macro="[0]!Steps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2341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9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STEPS</a:t>
          </a:r>
        </a:p>
      </xdr:txBody>
    </xdr:sp>
    <xdr:clientData fPrintsWithSheet="0"/>
  </xdr:twoCellAnchor>
  <xdr:twoCellAnchor editAs="absolute">
    <xdr:from>
      <xdr:col>9</xdr:col>
      <xdr:colOff>374649</xdr:colOff>
      <xdr:row>0</xdr:row>
      <xdr:rowOff>428509</xdr:rowOff>
    </xdr:from>
    <xdr:to>
      <xdr:col>10</xdr:col>
      <xdr:colOff>181841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9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250" b="0">
              <a:latin typeface="+mj-lt"/>
              <a:cs typeface="Segoe UI Semilight" panose="020B0402040204020203" pitchFamily="34" charset="0"/>
            </a:rPr>
            <a:t>FUNC NAME:</a:t>
          </a:r>
        </a:p>
      </xdr:txBody>
    </xdr:sp>
    <xdr:clientData fPrintsWithSheet="0"/>
  </xdr:twoCellAnchor>
  <xdr:twoCellAnchor editAs="absolute">
    <xdr:from>
      <xdr:col>9</xdr:col>
      <xdr:colOff>1676400</xdr:colOff>
      <xdr:row>0</xdr:row>
      <xdr:rowOff>69850</xdr:rowOff>
    </xdr:from>
    <xdr:to>
      <xdr:col>9</xdr:col>
      <xdr:colOff>2576513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11</xdr:col>
      <xdr:colOff>387677</xdr:colOff>
      <xdr:row>0</xdr:row>
      <xdr:rowOff>0</xdr:rowOff>
    </xdr:from>
    <xdr:to>
      <xdr:col>11</xdr:col>
      <xdr:colOff>941854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7323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11</xdr:col>
      <xdr:colOff>1296014</xdr:colOff>
      <xdr:row>0</xdr:row>
      <xdr:rowOff>0</xdr:rowOff>
    </xdr:from>
    <xdr:to>
      <xdr:col>11</xdr:col>
      <xdr:colOff>1296014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66406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62094</xdr:colOff>
      <xdr:row>0</xdr:row>
      <xdr:rowOff>0</xdr:rowOff>
    </xdr:from>
    <xdr:to>
      <xdr:col>11</xdr:col>
      <xdr:colOff>62094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54067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284023</xdr:colOff>
      <xdr:row>0</xdr:row>
      <xdr:rowOff>0</xdr:rowOff>
    </xdr:from>
    <xdr:to>
      <xdr:col>10</xdr:col>
      <xdr:colOff>1361782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4236898" y="0"/>
          <a:ext cx="108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FUNCTION</a:t>
          </a:r>
        </a:p>
      </xdr:txBody>
    </xdr:sp>
    <xdr:clientData/>
  </xdr:twoCellAnchor>
  <xdr:twoCellAnchor editAs="absolute">
    <xdr:from>
      <xdr:col>10</xdr:col>
      <xdr:colOff>171455</xdr:colOff>
      <xdr:row>0</xdr:row>
      <xdr:rowOff>0</xdr:rowOff>
    </xdr:from>
    <xdr:to>
      <xdr:col>10</xdr:col>
      <xdr:colOff>171455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1967095</xdr:colOff>
      <xdr:row>0</xdr:row>
      <xdr:rowOff>0</xdr:rowOff>
    </xdr:from>
    <xdr:to>
      <xdr:col>11</xdr:col>
      <xdr:colOff>1967095</xdr:colOff>
      <xdr:row>1</xdr:row>
      <xdr:rowOff>5386</xdr:rowOff>
    </xdr:to>
    <xdr:cxnSp macro="">
      <xdr:nvCxnSpPr>
        <xdr:cNvPr id="14" name="separator 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73117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1296653</xdr:colOff>
      <xdr:row>0</xdr:row>
      <xdr:rowOff>257175</xdr:rowOff>
    </xdr:from>
    <xdr:to>
      <xdr:col>11</xdr:col>
      <xdr:colOff>1949650</xdr:colOff>
      <xdr:row>0</xdr:row>
      <xdr:rowOff>778125</xdr:rowOff>
    </xdr:to>
    <xdr:pic macro="[0]!StepsRefresh">
      <xdr:nvPicPr>
        <xdr:cNvPr id="15" name="refreshMap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41299" y="25717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11</xdr:col>
      <xdr:colOff>700555</xdr:colOff>
      <xdr:row>0</xdr:row>
      <xdr:rowOff>250649</xdr:rowOff>
    </xdr:from>
    <xdr:to>
      <xdr:col>11</xdr:col>
      <xdr:colOff>1127059</xdr:colOff>
      <xdr:row>0</xdr:row>
      <xdr:rowOff>778125</xdr:rowOff>
    </xdr:to>
    <xdr:pic macro="[0]!StepsSave">
      <xdr:nvPicPr>
        <xdr:cNvPr id="16" name="saveMap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45201" y="25064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11</xdr:col>
      <xdr:colOff>208057</xdr:colOff>
      <xdr:row>0</xdr:row>
      <xdr:rowOff>263095</xdr:rowOff>
    </xdr:from>
    <xdr:to>
      <xdr:col>11</xdr:col>
      <xdr:colOff>608480</xdr:colOff>
      <xdr:row>0</xdr:row>
      <xdr:rowOff>778125</xdr:rowOff>
    </xdr:to>
    <xdr:pic macro="[0]!StepsAdd">
      <xdr:nvPicPr>
        <xdr:cNvPr id="17" name="addMap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52703" y="26309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9525</xdr:rowOff>
        </xdr:from>
        <xdr:to>
          <xdr:col>16</xdr:col>
          <xdr:colOff>0</xdr:colOff>
          <xdr:row>0</xdr:row>
          <xdr:rowOff>228600</xdr:rowOff>
        </xdr:to>
        <xdr:sp macro="" textlink="">
          <xdr:nvSpPr>
            <xdr:cNvPr id="6145" name="cboStep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10</xdr:col>
      <xdr:colOff>752475</xdr:colOff>
      <xdr:row>0</xdr:row>
      <xdr:rowOff>212031</xdr:rowOff>
    </xdr:from>
    <xdr:to>
      <xdr:col>11</xdr:col>
      <xdr:colOff>17929</xdr:colOff>
      <xdr:row>0</xdr:row>
      <xdr:rowOff>791015</xdr:rowOff>
    </xdr:to>
    <xdr:pic macro="[0]!SelectFunName">
      <xdr:nvPicPr>
        <xdr:cNvPr id="31" name="selectFunc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05350" y="212031"/>
          <a:ext cx="657225" cy="578984"/>
        </a:xfrm>
        <a:prstGeom prst="rect">
          <a:avLst/>
        </a:prstGeom>
      </xdr:spPr>
    </xdr:pic>
    <xdr:clientData/>
  </xdr:twoCellAnchor>
  <xdr:twoCellAnchor editAs="absolute">
    <xdr:from>
      <xdr:col>10</xdr:col>
      <xdr:colOff>257175</xdr:colOff>
      <xdr:row>0</xdr:row>
      <xdr:rowOff>219075</xdr:rowOff>
    </xdr:from>
    <xdr:to>
      <xdr:col>10</xdr:col>
      <xdr:colOff>653175</xdr:colOff>
      <xdr:row>0</xdr:row>
      <xdr:rowOff>783212</xdr:rowOff>
    </xdr:to>
    <xdr:pic macro="[0]!NewFunName">
      <xdr:nvPicPr>
        <xdr:cNvPr id="21" name="newFunc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0050" y="219075"/>
          <a:ext cx="396000" cy="564137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API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API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API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10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API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10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10</xdr:col>
      <xdr:colOff>295275</xdr:colOff>
      <xdr:row>0</xdr:row>
      <xdr:rowOff>69850</xdr:rowOff>
    </xdr:from>
    <xdr:to>
      <xdr:col>10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12</xdr:col>
      <xdr:colOff>284023</xdr:colOff>
      <xdr:row>0</xdr:row>
      <xdr:rowOff>0</xdr:rowOff>
    </xdr:from>
    <xdr:to>
      <xdr:col>12</xdr:col>
      <xdr:colOff>838200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13</xdr:col>
      <xdr:colOff>1735</xdr:colOff>
      <xdr:row>0</xdr:row>
      <xdr:rowOff>0</xdr:rowOff>
    </xdr:from>
    <xdr:to>
      <xdr:col>13</xdr:col>
      <xdr:colOff>1735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806165</xdr:colOff>
      <xdr:row>0</xdr:row>
      <xdr:rowOff>0</xdr:rowOff>
    </xdr:from>
    <xdr:to>
      <xdr:col>11</xdr:col>
      <xdr:colOff>806165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1912798</xdr:colOff>
      <xdr:row>0</xdr:row>
      <xdr:rowOff>0</xdr:rowOff>
    </xdr:from>
    <xdr:to>
      <xdr:col>11</xdr:col>
      <xdr:colOff>638175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API</a:t>
          </a:r>
        </a:p>
      </xdr:txBody>
    </xdr:sp>
    <xdr:clientData/>
  </xdr:twoCellAnchor>
  <xdr:twoCellAnchor editAs="absolute">
    <xdr:from>
      <xdr:col>10</xdr:col>
      <xdr:colOff>1724030</xdr:colOff>
      <xdr:row>0</xdr:row>
      <xdr:rowOff>0</xdr:rowOff>
    </xdr:from>
    <xdr:to>
      <xdr:col>10</xdr:col>
      <xdr:colOff>1724030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596901</xdr:colOff>
      <xdr:row>0</xdr:row>
      <xdr:rowOff>269699</xdr:rowOff>
    </xdr:from>
    <xdr:to>
      <xdr:col>12</xdr:col>
      <xdr:colOff>1023405</xdr:colOff>
      <xdr:row>0</xdr:row>
      <xdr:rowOff>797175</xdr:rowOff>
    </xdr:to>
    <xdr:pic macro="[0]!APISave">
      <xdr:nvPicPr>
        <xdr:cNvPr id="16" name="saveMap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12</xdr:col>
      <xdr:colOff>104403</xdr:colOff>
      <xdr:row>0</xdr:row>
      <xdr:rowOff>282145</xdr:rowOff>
    </xdr:from>
    <xdr:to>
      <xdr:col>12</xdr:col>
      <xdr:colOff>504826</xdr:colOff>
      <xdr:row>0</xdr:row>
      <xdr:rowOff>797175</xdr:rowOff>
    </xdr:to>
    <xdr:pic macro="[0]!APIAdd">
      <xdr:nvPicPr>
        <xdr:cNvPr id="17" name="addMap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11</xdr:col>
          <xdr:colOff>95250</xdr:colOff>
          <xdr:row>0</xdr:row>
          <xdr:rowOff>304800</xdr:rowOff>
        </xdr:to>
        <xdr:sp macro="" textlink="">
          <xdr:nvSpPr>
            <xdr:cNvPr id="10241" name="cboAPI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266701</xdr:colOff>
      <xdr:row>0</xdr:row>
      <xdr:rowOff>250649</xdr:rowOff>
    </xdr:from>
    <xdr:to>
      <xdr:col>11</xdr:col>
      <xdr:colOff>779063</xdr:colOff>
      <xdr:row>0</xdr:row>
      <xdr:rowOff>778125</xdr:rowOff>
    </xdr:to>
    <xdr:pic macro="[0]!APISelectScnId">
      <xdr:nvPicPr>
        <xdr:cNvPr id="20" name="selectAPIScn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52976" y="25064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1800225</xdr:colOff>
      <xdr:row>0</xdr:row>
      <xdr:rowOff>238125</xdr:rowOff>
    </xdr:from>
    <xdr:to>
      <xdr:col>11</xdr:col>
      <xdr:colOff>110250</xdr:colOff>
      <xdr:row>0</xdr:row>
      <xdr:rowOff>778125</xdr:rowOff>
    </xdr:to>
    <xdr:pic macro="[0]!APINewScnId">
      <xdr:nvPicPr>
        <xdr:cNvPr id="21" name="newAPIScn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00525" y="23812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9</xdr:col>
          <xdr:colOff>1209675</xdr:colOff>
          <xdr:row>0</xdr:row>
          <xdr:rowOff>304800</xdr:rowOff>
        </xdr:to>
        <xdr:sp macro="" textlink="">
          <xdr:nvSpPr>
            <xdr:cNvPr id="4097" name="cboMapping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Map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Map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9</xdr:row>
      <xdr:rowOff>14775</xdr:rowOff>
    </xdr:from>
    <xdr:to>
      <xdr:col>5</xdr:col>
      <xdr:colOff>223350</xdr:colOff>
      <xdr:row>9</xdr:row>
      <xdr:rowOff>194775</xdr:rowOff>
    </xdr:to>
    <xdr:pic macro="[0]!Map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2341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9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MAPPING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9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9</xdr:col>
      <xdr:colOff>295275</xdr:colOff>
      <xdr:row>0</xdr:row>
      <xdr:rowOff>69850</xdr:rowOff>
    </xdr:from>
    <xdr:to>
      <xdr:col>9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10</xdr:col>
      <xdr:colOff>820598</xdr:colOff>
      <xdr:row>0</xdr:row>
      <xdr:rowOff>0</xdr:rowOff>
    </xdr:from>
    <xdr:to>
      <xdr:col>11</xdr:col>
      <xdr:colOff>465667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11</xdr:col>
      <xdr:colOff>814917</xdr:colOff>
      <xdr:row>0</xdr:row>
      <xdr:rowOff>0</xdr:rowOff>
    </xdr:from>
    <xdr:to>
      <xdr:col>11</xdr:col>
      <xdr:colOff>814917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495015</xdr:colOff>
      <xdr:row>0</xdr:row>
      <xdr:rowOff>0</xdr:rowOff>
    </xdr:from>
    <xdr:to>
      <xdr:col>10</xdr:col>
      <xdr:colOff>495015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1912798</xdr:colOff>
      <xdr:row>0</xdr:row>
      <xdr:rowOff>0</xdr:rowOff>
    </xdr:from>
    <xdr:to>
      <xdr:col>10</xdr:col>
      <xdr:colOff>327025</xdr:colOff>
      <xdr:row>0</xdr:row>
      <xdr:rowOff>216000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MAPPING</a:t>
          </a:r>
        </a:p>
      </xdr:txBody>
    </xdr:sp>
    <xdr:clientData/>
  </xdr:twoCellAnchor>
  <xdr:twoCellAnchor editAs="absolute">
    <xdr:from>
      <xdr:col>9</xdr:col>
      <xdr:colOff>1724030</xdr:colOff>
      <xdr:row>0</xdr:row>
      <xdr:rowOff>0</xdr:rowOff>
    </xdr:from>
    <xdr:to>
      <xdr:col>9</xdr:col>
      <xdr:colOff>1724030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1490908</xdr:colOff>
      <xdr:row>0</xdr:row>
      <xdr:rowOff>0</xdr:rowOff>
    </xdr:from>
    <xdr:to>
      <xdr:col>11</xdr:col>
      <xdr:colOff>1490908</xdr:colOff>
      <xdr:row>1</xdr:row>
      <xdr:rowOff>5386</xdr:rowOff>
    </xdr:to>
    <xdr:cxnSp macro="">
      <xdr:nvCxnSpPr>
        <xdr:cNvPr id="19" name="separator 4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71974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814917</xdr:colOff>
      <xdr:row>0</xdr:row>
      <xdr:rowOff>276225</xdr:rowOff>
    </xdr:from>
    <xdr:to>
      <xdr:col>11</xdr:col>
      <xdr:colOff>1473463</xdr:colOff>
      <xdr:row>0</xdr:row>
      <xdr:rowOff>797175</xdr:rowOff>
    </xdr:to>
    <xdr:pic macro="[0]!MapRefresh">
      <xdr:nvPicPr>
        <xdr:cNvPr id="20" name="refreshMap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526999" y="27622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11</xdr:col>
      <xdr:colOff>224368</xdr:colOff>
      <xdr:row>0</xdr:row>
      <xdr:rowOff>269699</xdr:rowOff>
    </xdr:from>
    <xdr:to>
      <xdr:col>11</xdr:col>
      <xdr:colOff>650872</xdr:colOff>
      <xdr:row>0</xdr:row>
      <xdr:rowOff>797175</xdr:rowOff>
    </xdr:to>
    <xdr:pic macro="[0]!MapSave">
      <xdr:nvPicPr>
        <xdr:cNvPr id="21" name="saveMap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640978</xdr:colOff>
      <xdr:row>0</xdr:row>
      <xdr:rowOff>282145</xdr:rowOff>
    </xdr:from>
    <xdr:to>
      <xdr:col>11</xdr:col>
      <xdr:colOff>131234</xdr:colOff>
      <xdr:row>0</xdr:row>
      <xdr:rowOff>797175</xdr:rowOff>
    </xdr:to>
    <xdr:pic macro="[0]!MapAdd">
      <xdr:nvPicPr>
        <xdr:cNvPr id="22" name="addMap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xdr:twoCellAnchor editAs="absolute">
    <xdr:from>
      <xdr:col>9</xdr:col>
      <xdr:colOff>2338917</xdr:colOff>
      <xdr:row>0</xdr:row>
      <xdr:rowOff>269699</xdr:rowOff>
    </xdr:from>
    <xdr:to>
      <xdr:col>10</xdr:col>
      <xdr:colOff>448863</xdr:colOff>
      <xdr:row>0</xdr:row>
      <xdr:rowOff>797175</xdr:rowOff>
    </xdr:to>
    <xdr:pic macro="[0]!MapSelectScnId">
      <xdr:nvPicPr>
        <xdr:cNvPr id="23" name="selectMapScn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33926" y="26969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9</xdr:col>
      <xdr:colOff>1819275</xdr:colOff>
      <xdr:row>0</xdr:row>
      <xdr:rowOff>257175</xdr:rowOff>
    </xdr:from>
    <xdr:to>
      <xdr:col>9</xdr:col>
      <xdr:colOff>2220566</xdr:colOff>
      <xdr:row>0</xdr:row>
      <xdr:rowOff>797175</xdr:rowOff>
    </xdr:to>
    <xdr:pic macro="[0]!MapNewScnId">
      <xdr:nvPicPr>
        <xdr:cNvPr id="24" name="newMapScn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9575" y="25717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Batch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Batch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Batch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7</xdr:col>
      <xdr:colOff>633845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FUNC BATCHING</a:t>
          </a:r>
        </a:p>
      </xdr:txBody>
    </xdr:sp>
    <xdr:clientData fPrintsWithSheet="0"/>
  </xdr:twoCellAnchor>
  <xdr:twoCellAnchor editAs="absolute">
    <xdr:from>
      <xdr:col>6</xdr:col>
      <xdr:colOff>374649</xdr:colOff>
      <xdr:row>0</xdr:row>
      <xdr:rowOff>428509</xdr:rowOff>
    </xdr:from>
    <xdr:to>
      <xdr:col>10</xdr:col>
      <xdr:colOff>115166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6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8</xdr:col>
      <xdr:colOff>57150</xdr:colOff>
      <xdr:row>0</xdr:row>
      <xdr:rowOff>69850</xdr:rowOff>
    </xdr:from>
    <xdr:to>
      <xdr:col>8</xdr:col>
      <xdr:colOff>957263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10</xdr:col>
      <xdr:colOff>1998523</xdr:colOff>
      <xdr:row>0</xdr:row>
      <xdr:rowOff>0</xdr:rowOff>
    </xdr:from>
    <xdr:to>
      <xdr:col>10</xdr:col>
      <xdr:colOff>2552700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01807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2906860</xdr:colOff>
      <xdr:row>0</xdr:row>
      <xdr:rowOff>0</xdr:rowOff>
    </xdr:from>
    <xdr:to>
      <xdr:col>10</xdr:col>
      <xdr:colOff>2906860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69264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1672940</xdr:colOff>
      <xdr:row>0</xdr:row>
      <xdr:rowOff>0</xdr:rowOff>
    </xdr:from>
    <xdr:to>
      <xdr:col>10</xdr:col>
      <xdr:colOff>1672940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/>
      </xdr:nvCxnSpPr>
      <xdr:spPr>
        <a:xfrm>
          <a:off x="569249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198298</xdr:colOff>
      <xdr:row>0</xdr:row>
      <xdr:rowOff>0</xdr:rowOff>
    </xdr:from>
    <xdr:to>
      <xdr:col>10</xdr:col>
      <xdr:colOff>1602298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217848" y="0"/>
          <a:ext cx="1404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SCN FUNC BATCHING</a:t>
          </a:r>
        </a:p>
      </xdr:txBody>
    </xdr:sp>
    <xdr:clientData/>
  </xdr:twoCellAnchor>
  <xdr:twoCellAnchor editAs="absolute">
    <xdr:from>
      <xdr:col>10</xdr:col>
      <xdr:colOff>104780</xdr:colOff>
      <xdr:row>0</xdr:row>
      <xdr:rowOff>0</xdr:rowOff>
    </xdr:from>
    <xdr:to>
      <xdr:col>10</xdr:col>
      <xdr:colOff>104780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2311401</xdr:colOff>
      <xdr:row>0</xdr:row>
      <xdr:rowOff>265215</xdr:rowOff>
    </xdr:from>
    <xdr:to>
      <xdr:col>10</xdr:col>
      <xdr:colOff>2737905</xdr:colOff>
      <xdr:row>0</xdr:row>
      <xdr:rowOff>792691</xdr:rowOff>
    </xdr:to>
    <xdr:pic macro="[0]!BatchSave">
      <xdr:nvPicPr>
        <xdr:cNvPr id="14" name="saveMap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30951" y="265215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1818903</xdr:colOff>
      <xdr:row>0</xdr:row>
      <xdr:rowOff>277661</xdr:rowOff>
    </xdr:from>
    <xdr:to>
      <xdr:col>10</xdr:col>
      <xdr:colOff>2219326</xdr:colOff>
      <xdr:row>0</xdr:row>
      <xdr:rowOff>792691</xdr:rowOff>
    </xdr:to>
    <xdr:pic macro="[0]!BatchAdd">
      <xdr:nvPicPr>
        <xdr:cNvPr id="15" name="addMap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453" y="277661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8</xdr:col>
          <xdr:colOff>1304925</xdr:colOff>
          <xdr:row>0</xdr:row>
          <xdr:rowOff>304800</xdr:rowOff>
        </xdr:to>
        <xdr:sp macro="" textlink="">
          <xdr:nvSpPr>
            <xdr:cNvPr id="11265" name="cboBatch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663287</xdr:colOff>
      <xdr:row>0</xdr:row>
      <xdr:rowOff>0</xdr:rowOff>
    </xdr:from>
    <xdr:to>
      <xdr:col>11</xdr:col>
      <xdr:colOff>663287</xdr:colOff>
      <xdr:row>1</xdr:row>
      <xdr:rowOff>5386</xdr:rowOff>
    </xdr:to>
    <xdr:cxnSp macro="">
      <xdr:nvCxnSpPr>
        <xdr:cNvPr id="18" name="separator 4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>
          <a:off x="7730837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2986060</xdr:colOff>
      <xdr:row>0</xdr:row>
      <xdr:rowOff>252691</xdr:rowOff>
    </xdr:from>
    <xdr:to>
      <xdr:col>11</xdr:col>
      <xdr:colOff>614935</xdr:colOff>
      <xdr:row>0</xdr:row>
      <xdr:rowOff>792691</xdr:rowOff>
    </xdr:to>
    <xdr:pic macro="[0]!BatchRefresh">
      <xdr:nvPicPr>
        <xdr:cNvPr id="19" name="refreshBatch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5610" y="252691"/>
          <a:ext cx="676875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1188894</xdr:colOff>
      <xdr:row>0</xdr:row>
      <xdr:rowOff>252691</xdr:rowOff>
    </xdr:from>
    <xdr:to>
      <xdr:col>10</xdr:col>
      <xdr:colOff>1712548</xdr:colOff>
      <xdr:row>0</xdr:row>
      <xdr:rowOff>792691</xdr:rowOff>
    </xdr:to>
    <xdr:pic macro="[0]!BatchSelectScnId">
      <xdr:nvPicPr>
        <xdr:cNvPr id="20" name="selectBatchScn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8444" y="252691"/>
          <a:ext cx="523654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682592</xdr:colOff>
      <xdr:row>0</xdr:row>
      <xdr:rowOff>252691</xdr:rowOff>
    </xdr:from>
    <xdr:to>
      <xdr:col>10</xdr:col>
      <xdr:colOff>1118282</xdr:colOff>
      <xdr:row>0</xdr:row>
      <xdr:rowOff>792691</xdr:rowOff>
    </xdr:to>
    <xdr:pic macro="[0]!BatchCopyScnId">
      <xdr:nvPicPr>
        <xdr:cNvPr id="21" name="copyBatchScn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2142" y="252691"/>
          <a:ext cx="435690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171449</xdr:colOff>
      <xdr:row>0</xdr:row>
      <xdr:rowOff>219075</xdr:rowOff>
    </xdr:from>
    <xdr:to>
      <xdr:col>10</xdr:col>
      <xdr:colOff>619124</xdr:colOff>
      <xdr:row>0</xdr:row>
      <xdr:rowOff>792691</xdr:rowOff>
    </xdr:to>
    <xdr:pic macro="[0]!BatchNewScnId">
      <xdr:nvPicPr>
        <xdr:cNvPr id="22" name="newBatchScn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219075"/>
          <a:ext cx="447675" cy="573616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10</xdr:col>
      <xdr:colOff>674186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STEPS GENERATOR</a:t>
          </a:r>
        </a:p>
      </xdr:txBody>
    </xdr:sp>
    <xdr:clientData fPrintsWithSheet="0"/>
  </xdr:twoCellAnchor>
  <xdr:twoCellAnchor editAs="absolute">
    <xdr:from>
      <xdr:col>7</xdr:col>
      <xdr:colOff>1174188</xdr:colOff>
      <xdr:row>0</xdr:row>
      <xdr:rowOff>428509</xdr:rowOff>
    </xdr:from>
    <xdr:to>
      <xdr:col>15</xdr:col>
      <xdr:colOff>135897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2E3E4B6-0855-474F-8DC7-C35DB20E60C1}" type="TxLink">
            <a:rPr lang="en-US" sz="1600" b="0" i="0" u="none" strike="noStrike">
              <a:solidFill>
                <a:sysClr val="windowText" lastClr="000000"/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600" b="0" i="0" u="none" strike="noStrike">
            <a:solidFill>
              <a:sysClr val="windowText" lastClr="000000"/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7</xdr:col>
      <xdr:colOff>1164782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10</xdr:col>
      <xdr:colOff>904315</xdr:colOff>
      <xdr:row>0</xdr:row>
      <xdr:rowOff>69850</xdr:rowOff>
    </xdr:from>
    <xdr:to>
      <xdr:col>10</xdr:col>
      <xdr:colOff>1804428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16</xdr:col>
      <xdr:colOff>1687100</xdr:colOff>
      <xdr:row>0</xdr:row>
      <xdr:rowOff>0</xdr:rowOff>
    </xdr:from>
    <xdr:to>
      <xdr:col>16</xdr:col>
      <xdr:colOff>1687100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307981</xdr:colOff>
      <xdr:row>0</xdr:row>
      <xdr:rowOff>250698</xdr:rowOff>
    </xdr:from>
    <xdr:to>
      <xdr:col>16</xdr:col>
      <xdr:colOff>740835</xdr:colOff>
      <xdr:row>0</xdr:row>
      <xdr:rowOff>774999</xdr:rowOff>
    </xdr:to>
    <xdr:pic macro="[0]!ScnStepsSave">
      <xdr:nvPicPr>
        <xdr:cNvPr id="11" name="saveOR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20129" y="2506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16</xdr:col>
      <xdr:colOff>875642</xdr:colOff>
      <xdr:row>0</xdr:row>
      <xdr:rowOff>19050</xdr:rowOff>
    </xdr:from>
    <xdr:to>
      <xdr:col>16</xdr:col>
      <xdr:colOff>875642</xdr:colOff>
      <xdr:row>2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/>
      </xdr:nvCxnSpPr>
      <xdr:spPr>
        <a:xfrm>
          <a:off x="6187790" y="1905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790529</xdr:colOff>
      <xdr:row>0</xdr:row>
      <xdr:rowOff>1</xdr:rowOff>
    </xdr:from>
    <xdr:to>
      <xdr:col>16</xdr:col>
      <xdr:colOff>259977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4789348" y="1"/>
          <a:ext cx="782777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SCN STEPS</a:t>
          </a:r>
        </a:p>
      </xdr:txBody>
    </xdr:sp>
    <xdr:clientData/>
  </xdr:twoCellAnchor>
  <xdr:twoCellAnchor editAs="absolute">
    <xdr:from>
      <xdr:col>15</xdr:col>
      <xdr:colOff>125511</xdr:colOff>
      <xdr:row>0</xdr:row>
      <xdr:rowOff>0</xdr:rowOff>
    </xdr:from>
    <xdr:to>
      <xdr:col>15</xdr:col>
      <xdr:colOff>125511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983690</xdr:colOff>
      <xdr:row>0</xdr:row>
      <xdr:rowOff>249399</xdr:rowOff>
    </xdr:from>
    <xdr:to>
      <xdr:col>16</xdr:col>
      <xdr:colOff>142502</xdr:colOff>
      <xdr:row>0</xdr:row>
      <xdr:rowOff>774999</xdr:rowOff>
    </xdr:to>
    <xdr:pic macro="[0]!ScnStepsSelectScnId">
      <xdr:nvPicPr>
        <xdr:cNvPr id="19" name="selectScnSteps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984750" y="249399"/>
          <a:ext cx="469900" cy="525600"/>
        </a:xfrm>
        <a:prstGeom prst="rect">
          <a:avLst/>
        </a:prstGeom>
      </xdr:spPr>
    </xdr:pic>
    <xdr:clientData/>
  </xdr:twoCellAnchor>
  <xdr:twoCellAnchor editAs="absolute">
    <xdr:from>
      <xdr:col>15</xdr:col>
      <xdr:colOff>249331</xdr:colOff>
      <xdr:row>0</xdr:row>
      <xdr:rowOff>249399</xdr:rowOff>
    </xdr:from>
    <xdr:to>
      <xdr:col>15</xdr:col>
      <xdr:colOff>822445</xdr:colOff>
      <xdr:row>0</xdr:row>
      <xdr:rowOff>774999</xdr:rowOff>
    </xdr:to>
    <xdr:pic macro="[0]!ScnStepsGenerate">
      <xdr:nvPicPr>
        <xdr:cNvPr id="20" name="generateSteps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249399"/>
          <a:ext cx="573114" cy="525600"/>
        </a:xfrm>
        <a:prstGeom prst="rect">
          <a:avLst/>
        </a:prstGeom>
      </xdr:spPr>
    </xdr:pic>
    <xdr:clientData/>
  </xdr:twoCellAnchor>
  <xdr:twoCellAnchor editAs="absolute">
    <xdr:from>
      <xdr:col>16</xdr:col>
      <xdr:colOff>970990</xdr:colOff>
      <xdr:row>0</xdr:row>
      <xdr:rowOff>257175</xdr:rowOff>
    </xdr:from>
    <xdr:to>
      <xdr:col>16</xdr:col>
      <xdr:colOff>1623987</xdr:colOff>
      <xdr:row>0</xdr:row>
      <xdr:rowOff>778125</xdr:rowOff>
    </xdr:to>
    <xdr:pic macro="[0]!ScnStepsRefresh">
      <xdr:nvPicPr>
        <xdr:cNvPr id="21" name="refreshMap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00" y="25717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26</xdr:col>
      <xdr:colOff>1176617</xdr:colOff>
      <xdr:row>0</xdr:row>
      <xdr:rowOff>153132</xdr:rowOff>
    </xdr:from>
    <xdr:to>
      <xdr:col>27</xdr:col>
      <xdr:colOff>874058</xdr:colOff>
      <xdr:row>0</xdr:row>
      <xdr:rowOff>773765</xdr:rowOff>
    </xdr:to>
    <xdr:pic macro="[0]!RemoveDataColumn">
      <xdr:nvPicPr>
        <xdr:cNvPr id="23" name="Picture 22">
          <a:extLst>
            <a:ext uri="{FF2B5EF4-FFF2-40B4-BE49-F238E27FC236}">
              <a16:creationId xmlns:a16="http://schemas.microsoft.com/office/drawing/2014/main" id="{683CEC14-599E-22E5-58B8-A396243E7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389352" y="153132"/>
          <a:ext cx="874059" cy="620633"/>
        </a:xfrm>
        <a:prstGeom prst="rect">
          <a:avLst/>
        </a:prstGeom>
      </xdr:spPr>
    </xdr:pic>
    <xdr:clientData/>
  </xdr:twoCellAnchor>
  <xdr:twoCellAnchor editAs="absolute">
    <xdr:from>
      <xdr:col>26</xdr:col>
      <xdr:colOff>504265</xdr:colOff>
      <xdr:row>0</xdr:row>
      <xdr:rowOff>123265</xdr:rowOff>
    </xdr:from>
    <xdr:to>
      <xdr:col>27</xdr:col>
      <xdr:colOff>22412</xdr:colOff>
      <xdr:row>0</xdr:row>
      <xdr:rowOff>757853</xdr:rowOff>
    </xdr:to>
    <xdr:pic macro="[0]!AddDataColumn">
      <xdr:nvPicPr>
        <xdr:cNvPr id="24" name="Picture 23">
          <a:extLst>
            <a:ext uri="{FF2B5EF4-FFF2-40B4-BE49-F238E27FC236}">
              <a16:creationId xmlns:a16="http://schemas.microsoft.com/office/drawing/2014/main" id="{FBB41612-F248-694F-A914-710B252DE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17000" y="123265"/>
          <a:ext cx="694765" cy="63458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8</xdr:col>
      <xdr:colOff>690995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TIME DATA</a:t>
          </a:r>
        </a:p>
      </xdr:txBody>
    </xdr:sp>
    <xdr:clientData fPrintsWithSheet="0"/>
  </xdr:twoCellAnchor>
  <xdr:twoCellAnchor editAs="absolute">
    <xdr:from>
      <xdr:col>8</xdr:col>
      <xdr:colOff>923925</xdr:colOff>
      <xdr:row>0</xdr:row>
      <xdr:rowOff>69850</xdr:rowOff>
    </xdr:from>
    <xdr:to>
      <xdr:col>9</xdr:col>
      <xdr:colOff>128588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2211535</xdr:colOff>
      <xdr:row>0</xdr:row>
      <xdr:rowOff>0</xdr:rowOff>
    </xdr:from>
    <xdr:to>
      <xdr:col>9</xdr:col>
      <xdr:colOff>2211535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CxnSpPr/>
      </xdr:nvCxnSpPr>
      <xdr:spPr>
        <a:xfrm>
          <a:off x="56786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1406240</xdr:colOff>
      <xdr:row>0</xdr:row>
      <xdr:rowOff>0</xdr:rowOff>
    </xdr:from>
    <xdr:to>
      <xdr:col>9</xdr:col>
      <xdr:colOff>1406240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1165224</xdr:colOff>
      <xdr:row>0</xdr:row>
      <xdr:rowOff>438150</xdr:rowOff>
    </xdr:from>
    <xdr:to>
      <xdr:col>9</xdr:col>
      <xdr:colOff>658091</xdr:colOff>
      <xdr:row>0</xdr:row>
      <xdr:rowOff>742950</xdr:rowOff>
    </xdr:to>
    <xdr:sp macro="" textlink="$B$5">
      <xdr:nvSpPr>
        <xdr:cNvPr id="14" name="dataLabel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384299" y="438150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19050</xdr:colOff>
      <xdr:row>0</xdr:row>
      <xdr:rowOff>438615</xdr:rowOff>
    </xdr:from>
    <xdr:to>
      <xdr:col>7</xdr:col>
      <xdr:colOff>1155818</xdr:colOff>
      <xdr:row>0</xdr:row>
      <xdr:rowOff>742486</xdr:rowOff>
    </xdr:to>
    <xdr:sp macro="" textlink="">
      <xdr:nvSpPr>
        <xdr:cNvPr id="15" name="txtLabel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19050" y="438615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9</xdr:col>
      <xdr:colOff>657230</xdr:colOff>
      <xdr:row>0</xdr:row>
      <xdr:rowOff>0</xdr:rowOff>
    </xdr:from>
    <xdr:to>
      <xdr:col>9</xdr:col>
      <xdr:colOff>657230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781050</xdr:colOff>
      <xdr:row>0</xdr:row>
      <xdr:rowOff>209550</xdr:rowOff>
    </xdr:from>
    <xdr:to>
      <xdr:col>9</xdr:col>
      <xdr:colOff>1250950</xdr:colOff>
      <xdr:row>0</xdr:row>
      <xdr:rowOff>749550</xdr:rowOff>
    </xdr:to>
    <xdr:pic macro="[0]!RunDataSelectScnId">
      <xdr:nvPicPr>
        <xdr:cNvPr id="17" name="selectScnIdRunData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248150" y="209550"/>
          <a:ext cx="469900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1524000</xdr:colOff>
      <xdr:row>0</xdr:row>
      <xdr:rowOff>228600</xdr:rowOff>
    </xdr:from>
    <xdr:to>
      <xdr:col>9</xdr:col>
      <xdr:colOff>2176997</xdr:colOff>
      <xdr:row>0</xdr:row>
      <xdr:rowOff>749550</xdr:rowOff>
    </xdr:to>
    <xdr:pic macro="[0]!RunDataRefresh">
      <xdr:nvPicPr>
        <xdr:cNvPr id="18" name="refreshMap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1100" y="228600"/>
          <a:ext cx="652997" cy="5209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RunChart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1967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RunChart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1967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5</xdr:row>
      <xdr:rowOff>14775</xdr:rowOff>
    </xdr:from>
    <xdr:to>
      <xdr:col>5</xdr:col>
      <xdr:colOff>223350</xdr:colOff>
      <xdr:row>5</xdr:row>
      <xdr:rowOff>194775</xdr:rowOff>
    </xdr:to>
    <xdr:pic macro="[0]!RunChart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32922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CHART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297010</xdr:colOff>
      <xdr:row>0</xdr:row>
      <xdr:rowOff>0</xdr:rowOff>
    </xdr:from>
    <xdr:to>
      <xdr:col>10</xdr:col>
      <xdr:colOff>297010</xdr:colOff>
      <xdr:row>2</xdr:row>
      <xdr:rowOff>24436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2</xdr:row>
      <xdr:rowOff>24436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2</xdr:row>
      <xdr:rowOff>24436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10</xdr:col>
      <xdr:colOff>141015</xdr:colOff>
      <xdr:row>0</xdr:row>
      <xdr:rowOff>768600</xdr:rowOff>
    </xdr:to>
    <xdr:pic macro="[0]!RunChartSave">
      <xdr:nvPicPr>
        <xdr:cNvPr id="11" name="saveCData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RunChartAdd">
      <xdr:nvPicPr>
        <xdr:cNvPr id="12" name="addCData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2</xdr:row>
      <xdr:rowOff>26039</xdr:rowOff>
    </xdr:to>
    <xdr:pic macro="[0]!RunChart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  <xdr:twoCellAnchor editAs="absolute">
    <xdr:from>
      <xdr:col>10</xdr:col>
      <xdr:colOff>371475</xdr:colOff>
      <xdr:row>0</xdr:row>
      <xdr:rowOff>200025</xdr:rowOff>
    </xdr:from>
    <xdr:to>
      <xdr:col>10</xdr:col>
      <xdr:colOff>975031</xdr:colOff>
      <xdr:row>2</xdr:row>
      <xdr:rowOff>9578</xdr:rowOff>
    </xdr:to>
    <xdr:pic macro="[0]!RunChartExecute">
      <xdr:nvPicPr>
        <xdr:cNvPr id="18" name="Pictur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10300" y="200025"/>
          <a:ext cx="603556" cy="609653"/>
        </a:xfrm>
        <a:prstGeom prst="rect">
          <a:avLst/>
        </a:prstGeom>
      </xdr:spPr>
    </xdr:pic>
    <xdr:clientData/>
  </xdr:twoCellAnchor>
  <xdr:twoCellAnchor editAs="absolute">
    <xdr:from>
      <xdr:col>10</xdr:col>
      <xdr:colOff>1640035</xdr:colOff>
      <xdr:row>0</xdr:row>
      <xdr:rowOff>9525</xdr:rowOff>
    </xdr:from>
    <xdr:to>
      <xdr:col>10</xdr:col>
      <xdr:colOff>1640035</xdr:colOff>
      <xdr:row>2</xdr:row>
      <xdr:rowOff>33961</xdr:rowOff>
    </xdr:to>
    <xdr:cxnSp macro="">
      <xdr:nvCxnSpPr>
        <xdr:cNvPr id="19" name="separator 3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CxnSpPr/>
      </xdr:nvCxnSpPr>
      <xdr:spPr>
        <a:xfrm>
          <a:off x="7478860" y="9525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1000125</xdr:colOff>
      <xdr:row>0</xdr:row>
      <xdr:rowOff>239241</xdr:rowOff>
    </xdr:from>
    <xdr:to>
      <xdr:col>10</xdr:col>
      <xdr:colOff>1619251</xdr:colOff>
      <xdr:row>0</xdr:row>
      <xdr:rowOff>781863</xdr:rowOff>
    </xdr:to>
    <xdr:pic macro="[0]!RunChartReport">
      <xdr:nvPicPr>
        <xdr:cNvPr id="20" name="Picture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38950" y="239241"/>
          <a:ext cx="619126" cy="54262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9525</xdr:rowOff>
        </xdr:from>
        <xdr:to>
          <xdr:col>10</xdr:col>
          <xdr:colOff>0</xdr:colOff>
          <xdr:row>0</xdr:row>
          <xdr:rowOff>228600</xdr:rowOff>
        </xdr:to>
        <xdr:sp macro="" textlink="">
          <xdr:nvSpPr>
            <xdr:cNvPr id="15364" name="cmbScnI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CData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CData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7</xdr:row>
      <xdr:rowOff>14775</xdr:rowOff>
    </xdr:from>
    <xdr:to>
      <xdr:col>5</xdr:col>
      <xdr:colOff>223350</xdr:colOff>
      <xdr:row>7</xdr:row>
      <xdr:rowOff>194775</xdr:rowOff>
    </xdr:to>
    <xdr:pic macro="[0]!CData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COMMON DATA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3106885</xdr:colOff>
      <xdr:row>0</xdr:row>
      <xdr:rowOff>0</xdr:rowOff>
    </xdr:from>
    <xdr:to>
      <xdr:col>9</xdr:col>
      <xdr:colOff>3106885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9</xdr:col>
      <xdr:colOff>2950890</xdr:colOff>
      <xdr:row>0</xdr:row>
      <xdr:rowOff>768600</xdr:rowOff>
    </xdr:to>
    <xdr:pic macro="[0]!CDataSave">
      <xdr:nvPicPr>
        <xdr:cNvPr id="11" name="saveCData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CDataAdd">
      <xdr:nvPicPr>
        <xdr:cNvPr id="12" name="addCData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1</xdr:row>
      <xdr:rowOff>6989</xdr:rowOff>
    </xdr:to>
    <xdr:pic macro="[0]!CData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2</xdr:row>
      <xdr:rowOff>161925</xdr:rowOff>
    </xdr:from>
    <xdr:to>
      <xdr:col>4</xdr:col>
      <xdr:colOff>57150</xdr:colOff>
      <xdr:row>5</xdr:row>
      <xdr:rowOff>2637</xdr:rowOff>
    </xdr:to>
    <xdr:pic macro="[0]!UnprotectEnumSheet">
      <xdr:nvPicPr>
        <xdr:cNvPr id="10" name="Pictur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38825" y="590550"/>
          <a:ext cx="581025" cy="555087"/>
        </a:xfrm>
        <a:prstGeom prst="rect">
          <a:avLst/>
        </a:prstGeom>
      </xdr:spPr>
    </xdr:pic>
    <xdr:clientData/>
  </xdr:twoCellAnchor>
  <xdr:twoCellAnchor editAs="absolute">
    <xdr:from>
      <xdr:col>4</xdr:col>
      <xdr:colOff>76200</xdr:colOff>
      <xdr:row>2</xdr:row>
      <xdr:rowOff>161925</xdr:rowOff>
    </xdr:from>
    <xdr:to>
      <xdr:col>4</xdr:col>
      <xdr:colOff>509054</xdr:colOff>
      <xdr:row>4</xdr:row>
      <xdr:rowOff>209976</xdr:rowOff>
    </xdr:to>
    <xdr:pic macro="[0]!EnumsUpdateOrInsert">
      <xdr:nvPicPr>
        <xdr:cNvPr id="3" name="saveCData">
          <a:extLst>
            <a:ext uri="{FF2B5EF4-FFF2-40B4-BE49-F238E27FC236}">
              <a16:creationId xmlns:a16="http://schemas.microsoft.com/office/drawing/2014/main" id="{7DBB5C9D-32BE-4B26-8E33-9E1256D25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05400" y="590550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3</xdr:col>
      <xdr:colOff>133350</xdr:colOff>
      <xdr:row>1</xdr:row>
      <xdr:rowOff>9525</xdr:rowOff>
    </xdr:from>
    <xdr:to>
      <xdr:col>4</xdr:col>
      <xdr:colOff>423863</xdr:colOff>
      <xdr:row>2</xdr:row>
      <xdr:rowOff>23431</xdr:rowOff>
    </xdr:to>
    <xdr:sp macro="dbConnect" textlink="">
      <xdr:nvSpPr>
        <xdr:cNvPr id="5" name="ConnectionStatus">
          <a:extLst>
            <a:ext uri="{FF2B5EF4-FFF2-40B4-BE49-F238E27FC236}">
              <a16:creationId xmlns:a16="http://schemas.microsoft.com/office/drawing/2014/main" id="{795079EB-3A65-4EC0-9ABC-253F8B999457}"/>
            </a:ext>
          </a:extLst>
        </xdr:cNvPr>
        <xdr:cNvSpPr/>
      </xdr:nvSpPr>
      <xdr:spPr>
        <a:xfrm>
          <a:off x="4552950" y="200025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>
              <a:solidFill>
                <a:srgbClr val="FFFFFF"/>
              </a:solidFill>
              <a:latin typeface="Consolas" panose="020B0609020204030204" pitchFamily="49" charset="0"/>
            </a:rPr>
            <a:t>DB Status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341548-634E-4723-9590-BFD572AC5EFC}" name="tblOR" displayName="tblOR" ref="D4:M5" insertRow="1" totalsRowShown="0" headerRowDxfId="212" dataDxfId="28" headerRowBorderDxfId="211" tableBorderDxfId="210" totalsRowBorderDxfId="209">
  <autoFilter ref="D4:M5" xr:uid="{B6341548-634E-4723-9590-BFD572AC5EFC}"/>
  <tableColumns count="10">
    <tableColumn id="7" xr3:uid="{9B3D314C-8517-4F22-B776-D706F928A204}" name="D" dataDxfId="27"/>
    <tableColumn id="8" xr3:uid="{850F5C1E-703F-43FF-887B-81D9B104A00C}" name="E" dataDxfId="26"/>
    <tableColumn id="9" xr3:uid="{AF856981-C6D4-480B-BD93-059E55495108}" name="C" dataDxfId="25"/>
    <tableColumn id="10" xr3:uid="{9B446147-559A-4D35-8B8A-FF4EC98A58EA}" name="ACTION" dataDxfId="24"/>
    <tableColumn id="1" xr3:uid="{243A0144-3B47-47A0-9211-63DABFAA1674}" name="OR_ID" dataDxfId="23"/>
    <tableColumn id="2" xr3:uid="{984EB06A-ECDC-4A13-8096-26032AE5880E}" name="SCREEN_NAME" dataDxfId="22"/>
    <tableColumn id="3" xr3:uid="{0C11641D-C276-4213-A0F2-6A0F6093E15A}" name="FIELD_NAME" dataDxfId="21"/>
    <tableColumn id="4" xr3:uid="{86C297E7-4B50-4929-8ACE-790B0B78EA70}" name="TYPE" dataDxfId="20"/>
    <tableColumn id="5" xr3:uid="{2BBF8B77-EB5A-43E8-8883-CC0A94247D1A}" name="LOCATOR" dataDxfId="19"/>
    <tableColumn id="6" xr3:uid="{32F63322-F415-4B14-9227-0B91C4A562B7}" name="PLATFORM" dataDxfId="18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CBA82B-3A44-413B-B713-32115AADE111}" name="tblFuncMaster" displayName="tblFuncMaster" ref="D4:I5" insertRow="1" totalsRowShown="0" headerRowDxfId="208" dataDxfId="206" headerRowBorderDxfId="207" tableBorderDxfId="205" totalsRowBorderDxfId="204">
  <autoFilter ref="D4:I5" xr:uid="{B6341548-634E-4723-9590-BFD572AC5EFC}"/>
  <tableColumns count="6">
    <tableColumn id="7" xr3:uid="{DF460416-C0AB-4B77-9827-B09DE2C14322}" name="D" dataDxfId="203"/>
    <tableColumn id="8" xr3:uid="{6AFC8173-FCC0-4FE1-88F9-68B2121B202E}" name="E" dataDxfId="202"/>
    <tableColumn id="9" xr3:uid="{50DCF79A-8EB4-4DF3-ADA8-9FED0E615386}" name="C" dataDxfId="201"/>
    <tableColumn id="1" xr3:uid="{C33F9CC7-20DD-40BE-8CD9-A120FE54E220}" name="ACTION" dataDxfId="200"/>
    <tableColumn id="2" xr3:uid="{8D4F81A0-67F1-4168-94D0-CA84E0AA9063}" name="FUNC_ID" dataDxfId="199"/>
    <tableColumn id="3" xr3:uid="{C54199D1-A369-4BEA-AA5B-4E241C01FD41}" name="FUNC_NAME" dataDxfId="198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E795D6-91BE-43C1-B74F-0AE9D1590F51}" name="tblSubFuncMaster" displayName="tblSubFuncMaster" ref="D4:I5" insertRow="1" totalsRowShown="0" headerRowDxfId="197" dataDxfId="195" headerRowBorderDxfId="196" tableBorderDxfId="194" totalsRowBorderDxfId="193">
  <autoFilter ref="D4:I5" xr:uid="{2AE795D6-91BE-43C1-B74F-0AE9D1590F51}"/>
  <tableColumns count="6">
    <tableColumn id="7" xr3:uid="{265AAA22-424B-4018-AAC7-6F9892CC032E}" name="D" dataDxfId="192"/>
    <tableColumn id="8" xr3:uid="{2F1AD362-E2E5-4034-8CB5-30ABC7656A42}" name="E" dataDxfId="191"/>
    <tableColumn id="9" xr3:uid="{FF7D8B9B-FBB4-4B25-853E-999AFED34B18}" name="C" dataDxfId="190"/>
    <tableColumn id="1" xr3:uid="{B99E32E9-EC0C-47AC-AFFF-42C4A180AE88}" name="ACTION" dataDxfId="189"/>
    <tableColumn id="2" xr3:uid="{E119B0FF-E9F1-467F-A691-0BF44EB0613F}" name="SUBFUNC_ID" dataDxfId="188"/>
    <tableColumn id="3" xr3:uid="{84A02AD0-59B6-495E-8B88-604C5CBF55D2}" name="SUBFUNC_NAME" dataDxfId="187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CCDE2E-F7C5-47D2-A763-CF25095316E9}" name="tblSteps" displayName="tblSteps" ref="D4:U5" insertRow="1" totalsRowShown="0" headerRowDxfId="186" dataDxfId="184" headerRowBorderDxfId="185" tableBorderDxfId="183" totalsRowBorderDxfId="182">
  <autoFilter ref="D4:U5" xr:uid="{B6341548-634E-4723-9590-BFD572AC5EFC}"/>
  <tableColumns count="18">
    <tableColumn id="7" xr3:uid="{4C679A9F-4BA8-44DB-A992-2CA511B1B3B9}" name="D" dataDxfId="181"/>
    <tableColumn id="8" xr3:uid="{04330E64-C10A-4CE9-A39F-7FBA7BC6030D}" name="E" dataDxfId="180"/>
    <tableColumn id="9" xr3:uid="{6E3FC6E7-0B60-4EEB-A323-AD49216D6266}" name="C" dataDxfId="179"/>
    <tableColumn id="1" xr3:uid="{1274E6A7-A912-4DE0-886C-542610E4C97C}" name="ACTION" dataDxfId="178"/>
    <tableColumn id="2" xr3:uid="{76F68286-ADF5-4E14-A5FE-1DA47C7B7ECB}" name="FNSTEP_ID" dataDxfId="177"/>
    <tableColumn id="3" xr3:uid="{C06449AA-A66B-40CA-A6D4-9FA605585460}" name="FUNC_ID" dataDxfId="176"/>
    <tableColumn id="4" xr3:uid="{A29D96CE-4ED9-4067-B3D5-AEDC4F5F3367}" name="FUNC_NAME" dataDxfId="175"/>
    <tableColumn id="15" xr3:uid="{F7B14080-5D3E-4BE9-8269-9D64451E35B1}" name="STEP_SEQUENCE" dataDxfId="174"/>
    <tableColumn id="14" xr3:uid="{757ACA56-BB22-4F83-A1E4-EFCE0205F6FD}" name="STEP_DESCRIPTION" dataDxfId="173"/>
    <tableColumn id="17" xr3:uid="{126407ED-9B85-4BD2-B80B-0394FE0AE98D}" name="STEP_EXP_DESCRIPTION" dataDxfId="172"/>
    <tableColumn id="16" xr3:uid="{5F3425FB-8C38-4038-B1C3-0E61E0B7CB07}" name="OR_ID" dataDxfId="171"/>
    <tableColumn id="13" xr3:uid="{7E70D4DA-04D0-4116-8C67-78ADB80CE216}" name="SCREEN_NAME" dataDxfId="170"/>
    <tableColumn id="12" xr3:uid="{15C9A9CD-96EB-4959-AF08-D72DBFBA4AAB}" name="FIELD_NAME" dataDxfId="169"/>
    <tableColumn id="18" xr3:uid="{F7A9ABA1-95AC-443D-8B9F-9E3F842CDFD2}" name="FIELD_TYPE" dataDxfId="168"/>
    <tableColumn id="11" xr3:uid="{2A2E10A3-7CBA-4C19-A445-560A55E63D48}" name="KEYWORD" dataDxfId="167"/>
    <tableColumn id="10" xr3:uid="{0CCF7573-5F25-4EC8-931F-06181F7DA90F}" name="SKIP_STEP" dataDxfId="166"/>
    <tableColumn id="5" xr3:uid="{0768F771-B520-4B0F-B450-1847639CF00A}" name="SKIP_SS" dataDxfId="165"/>
    <tableColumn id="6" xr3:uid="{EE1F676E-7470-4655-95D2-73B9E7060D47}" name="HARD_ASSERT" dataDxfId="164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C3788D-040A-432C-A96F-07537D441DAF}" name="tblAPI" displayName="tblAPI" ref="D4:U5" insertRow="1" totalsRowShown="0" headerRowDxfId="163" dataDxfId="161" headerRowBorderDxfId="162" tableBorderDxfId="160" totalsRowBorderDxfId="159">
  <autoFilter ref="D4:U5" xr:uid="{B6341548-634E-4723-9590-BFD572AC5EFC}"/>
  <tableColumns count="18">
    <tableColumn id="7" xr3:uid="{BDB3D455-91A6-43DE-A0AA-C5A8B0DD4423}" name="D" dataDxfId="158"/>
    <tableColumn id="8" xr3:uid="{663A7858-42EB-49B4-AD40-FBA3D9EED813}" name="E" dataDxfId="157"/>
    <tableColumn id="9" xr3:uid="{DEDF7B48-FAE6-406C-9AD8-DA58284EFD14}" name="C" dataDxfId="156"/>
    <tableColumn id="1" xr3:uid="{3E7564C6-0E1E-49B4-A8D2-640F9629B2DA}" name="ACTION" dataDxfId="155"/>
    <tableColumn id="2" xr3:uid="{6ECD8A1A-BC8D-48D4-8A2A-23E345419ABB}" name="API_ID" dataDxfId="154"/>
    <tableColumn id="3" xr3:uid="{5DC33AE0-D433-408E-A460-F1018787A7A8}" name="SCN_ID" dataDxfId="153"/>
    <tableColumn id="4" xr3:uid="{8C1E0954-51A2-4790-96B1-6BACC50274FD}" name="SUBFUNC_ID" dataDxfId="152"/>
    <tableColumn id="15" xr3:uid="{C7599D58-6E35-43D8-9571-3D1937BF043E}" name="SUBFUNC_NAME" dataDxfId="151"/>
    <tableColumn id="14" xr3:uid="{58ED1EE3-B39A-4CBD-9958-8BDC4CB6237B}" name="STEP_ID" dataDxfId="150"/>
    <tableColumn id="16" xr3:uid="{E6EDA538-C7F0-48B7-9E15-0E4C0750BC50}" name="REQUEST_TYPE" dataDxfId="149"/>
    <tableColumn id="13" xr3:uid="{8428195A-44ED-4F58-A9B5-BC8B4CE6FB7A}" name="URI" dataDxfId="148"/>
    <tableColumn id="12" xr3:uid="{735C6CBE-6721-48D2-9A8C-4464FCD0B8EB}" name="VARIABLES" dataDxfId="147"/>
    <tableColumn id="11" xr3:uid="{18A34A0B-1997-4C03-B35A-C7313AE3AD2B}" name="AUTH_TYPE" dataDxfId="146"/>
    <tableColumn id="18" xr3:uid="{204706CD-760D-4FC0-A488-05364396E67A}" name="AUTH_DATA" dataDxfId="145"/>
    <tableColumn id="17" xr3:uid="{2A55E668-8F98-4BCD-9F4D-4F7115522CB5}" name="HEADER_DATA" dataDxfId="144"/>
    <tableColumn id="10" xr3:uid="{1A35BCEC-A2BC-461B-8EBB-07BC48D01AE2}" name="REQUEST_BODY_DATA" dataDxfId="143"/>
    <tableColumn id="5" xr3:uid="{C46B6248-DB4C-4050-A147-7BD08DB0F867}" name="RESPONSE_VERIFICATION" dataDxfId="142"/>
    <tableColumn id="6" xr3:uid="{7B5D60E1-0182-460F-A670-038E635C25DF}" name="RESPONSE_RETRIEVE" dataDxfId="141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E6B1CF-82AC-43DB-8AC2-A160B54615C4}" name="tblMapping" displayName="tblMapping" ref="D4:Q5" insertRow="1" totalsRowShown="0" headerRowDxfId="140" dataDxfId="43" headerRowBorderDxfId="139" tableBorderDxfId="138" totalsRowBorderDxfId="137">
  <autoFilter ref="D4:Q5" xr:uid="{B6341548-634E-4723-9590-BFD572AC5EFC}"/>
  <tableColumns count="14">
    <tableColumn id="7" xr3:uid="{7E16B021-96D0-4DEA-A6EB-C0EAFD6141D3}" name="D" dataDxfId="42"/>
    <tableColumn id="8" xr3:uid="{A3D69F03-49D1-41C8-860E-E43CC3D48322}" name="E" dataDxfId="41"/>
    <tableColumn id="9" xr3:uid="{8778FFC1-223F-4CCC-A54F-6FFA2FFFCF06}" name="C" dataDxfId="40"/>
    <tableColumn id="1" xr3:uid="{A9B22712-6D72-4EE1-A83C-7DC0866DA877}" name="ACTION" dataDxfId="39"/>
    <tableColumn id="2" xr3:uid="{0027F342-A698-43A6-9984-69F1BB470B5A}" name="MAP_ID" dataDxfId="38"/>
    <tableColumn id="3" xr3:uid="{3521E9F4-D0EC-45A7-A757-33FA001CBF8D}" name="SCN_ID" dataDxfId="37"/>
    <tableColumn id="12" xr3:uid="{00FDBE9C-9B16-42C7-B3DC-ED79039CA4D4}" name="SCN_DESCRIPTION" dataDxfId="36"/>
    <tableColumn id="4" xr3:uid="{EB477B5F-03DA-4562-8050-2692B00C348A}" name="FUNC_ID" dataDxfId="35"/>
    <tableColumn id="15" xr3:uid="{14CE8EAC-D9CF-4CC7-A2A4-A0438F85D281}" name="FUNC_NAME" dataDxfId="34"/>
    <tableColumn id="14" xr3:uid="{0980C81D-8BE0-45A6-B99F-1E7EAE178C0B}" name="FUNC_SEQUENCE" dataDxfId="33"/>
    <tableColumn id="11" xr3:uid="{5F14B333-99BC-40DA-BDC6-A87FC56E2B75}" name="ITERATION" dataDxfId="32"/>
    <tableColumn id="10" xr3:uid="{59E4F7C8-1E3D-4C86-967A-11E5B37844AA}" name="ITERATION_SEQUENCE" dataDxfId="31"/>
    <tableColumn id="5" xr3:uid="{661AB0BD-E974-45E0-AA6B-67FADB55F2E7}" name="RUNMODE" dataDxfId="30"/>
    <tableColumn id="6" xr3:uid="{1EE76053-9C1D-491B-8B91-C4D8324DAAA1}" name="INIT_COMPLETE" dataDxfId="29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B342654-1C8D-4198-8BF3-83656CFDBE34}" name="tblBatch" displayName="tblBatch" ref="D4:M5" insertRow="1" totalsRowShown="0" headerRowDxfId="136" dataDxfId="134" headerRowBorderDxfId="135" tableBorderDxfId="133" totalsRowBorderDxfId="132">
  <autoFilter ref="D4:M5" xr:uid="{B6341548-634E-4723-9590-BFD572AC5EFC}"/>
  <tableColumns count="10">
    <tableColumn id="7" xr3:uid="{09CBC42F-2E92-4BB2-AEA3-36D4420A07D6}" name="D" dataDxfId="131"/>
    <tableColumn id="8" xr3:uid="{30EF88E7-0C58-4B92-8E56-5BCF4A169C00}" name="E" dataDxfId="130"/>
    <tableColumn id="9" xr3:uid="{54DBE538-A78E-415B-83C8-F542D9CCFA34}" name="C" dataDxfId="129"/>
    <tableColumn id="1" xr3:uid="{5132A12A-443B-48AA-AE5F-314775604E92}" name="ACTION" dataDxfId="128"/>
    <tableColumn id="2" xr3:uid="{6612E218-C4D5-4ED6-8ADB-5D0CE2C51DB0}" name="BATCH_ID" dataDxfId="127"/>
    <tableColumn id="3" xr3:uid="{C6B7F26E-C97C-4A1E-9C28-857178DEF2DC}" name="SCN_ID" dataDxfId="126"/>
    <tableColumn id="4" xr3:uid="{15047470-8B1C-43EE-959F-1CF7E89A30B4}" name="FUNC_ID" dataDxfId="125"/>
    <tableColumn id="15" xr3:uid="{93A21B31-CD74-4E64-9C76-6E4CA2319830}" name="FUNC_NAME" dataDxfId="124"/>
    <tableColumn id="14" xr3:uid="{3AD22238-F808-4D06-A51F-2ED8E0B48BBF}" name="SEQUENCE" dataDxfId="123"/>
    <tableColumn id="16" xr3:uid="{1536EFF7-CBE1-425C-AEF3-A86BF776ACAC}" name="RUNMODE" dataDxfId="122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6DBEC4E-AB48-441D-B17B-4EE8EE060D7F}" name="tblScnSteps" displayName="tblScnSteps" ref="D4:AK5" insertRow="1" totalsRowShown="0" headerRowDxfId="121" dataDxfId="93" headerRowBorderDxfId="120" tableBorderDxfId="119" totalsRowBorderDxfId="118">
  <autoFilter ref="D4:AK5" xr:uid="{B6341548-634E-4723-9590-BFD572AC5EFC}"/>
  <tableColumns count="34">
    <tableColumn id="7" xr3:uid="{1C498860-AA78-4050-B27B-CC104E4B31B0}" name="D" dataDxfId="92"/>
    <tableColumn id="8" xr3:uid="{C358593D-B7CD-4775-904E-975237576402}" name="E" dataDxfId="91"/>
    <tableColumn id="9" xr3:uid="{5D900056-CA81-4F58-AFB1-BB8E27492BFB}" name="C" dataDxfId="90"/>
    <tableColumn id="1" xr3:uid="{5AE5AE13-64FB-45B5-91DB-E5D04D7DE6B7}" name="ACTION" dataDxfId="89">
      <calculatedColumnFormula>IF(AND(EXACT(AQ5,tblScnSteps[[#This Row],[SKIP_STEP]]), EXACT(AR5,tblScnSteps[[#This Row],[SKIP_SS]]), EXACT(AS5,tblScnSteps[[#This Row],[HARD_ASSERT]]), EXACT(AT5,tblScnSteps[[#This Row],[DATA_01]]), EXACT(AU5,tblScnSteps[[#This Row],[DATA_02]])), "E", "M")</calculatedColumnFormula>
    </tableColumn>
    <tableColumn id="25" xr3:uid="{97B4DF37-AF1E-4A69-8C26-A1F4449C5DCA}" name="SCN_ID" dataDxfId="88"/>
    <tableColumn id="26" xr3:uid="{5639DA48-4B67-481D-BBA0-EB658ADA7905}" name="MAP_ID" dataDxfId="87"/>
    <tableColumn id="24" xr3:uid="{57E408BE-BA3D-484F-ACB9-AFEBE2E425A4}" name="FUNC_ID" dataDxfId="86"/>
    <tableColumn id="23" xr3:uid="{30FA5AF4-2262-45ED-99FA-D90110F3F8AD}" name="FUNC_NAME" dataDxfId="85"/>
    <tableColumn id="37" xr3:uid="{FA110CBE-916B-44E2-A11B-F1161C862470}" name="FNSTEP_ID" dataDxfId="84"/>
    <tableColumn id="41" xr3:uid="{0A6A7E02-0AAF-40D6-871F-10092C44AD28}" name="FUNC_SEQUENCE" dataDxfId="83"/>
    <tableColumn id="40" xr3:uid="{627F3EDB-13DB-480E-8752-241C1E3C5865}" name="ITERATION" dataDxfId="82"/>
    <tableColumn id="39" xr3:uid="{EFDB84D4-D611-4889-8B96-9C50B9CC2CE0}" name="ITERATION_SEQUENCE" dataDxfId="81"/>
    <tableColumn id="21" xr3:uid="{DC085A51-76F4-482D-BDF6-CC655012CA80}" name="STEP_SEQUENCE" dataDxfId="80"/>
    <tableColumn id="20" xr3:uid="{09D6A56B-63F0-471B-ABA6-E9C9B53A867D}" name="STEP_DESCRIPTION" dataDxfId="79"/>
    <tableColumn id="38" xr3:uid="{059FC848-E3DF-41BF-9323-C8DEF9E4E1D1}" name="STEP_EXP_DESCRIPTION" dataDxfId="78"/>
    <tableColumn id="19" xr3:uid="{A14778F4-936A-4056-B6C4-C6EFDFE31784}" name="OR_ID" dataDxfId="77"/>
    <tableColumn id="18" xr3:uid="{AD1BAAF3-9999-417E-A8C8-56E9CB7CD31D}" name="SCREEN_NAME" dataDxfId="76"/>
    <tableColumn id="17" xr3:uid="{FB6A7593-183D-454D-B725-C1C075096C02}" name="FIELD_NAME" dataDxfId="75"/>
    <tableColumn id="16" xr3:uid="{C0684902-E851-443B-8443-15ACD404C94D}" name="KEYWORD" dataDxfId="74"/>
    <tableColumn id="15" xr3:uid="{F458F78E-5993-4286-A9C3-2BACF0A15918}" name="FIELD_TYPE" dataDxfId="73"/>
    <tableColumn id="14" xr3:uid="{EEC7193B-882E-4DCB-84F4-A5BD8B2E9264}" name="LOCATOR" dataDxfId="72"/>
    <tableColumn id="13" xr3:uid="{020A9008-19D4-4931-8DB0-BCFC2D264A02}" name="SKIP_STEP" dataDxfId="71"/>
    <tableColumn id="12" xr3:uid="{41B5B4F2-5E14-4EB7-9CEA-3B4EDC5CBDB8}" name="SKIP_SS" dataDxfId="70"/>
    <tableColumn id="11" xr3:uid="{6E8FC457-C294-4BF2-92E4-2B4A0589390B}" name="HARD_ASSERT" dataDxfId="69"/>
    <tableColumn id="10" xr3:uid="{882E9638-530D-45A1-AE28-351386AFA689}" name="DATA_01" dataDxfId="68"/>
    <tableColumn id="27" xr3:uid="{5A04A975-B5BD-4709-93BF-E95661844ECB}" name="DATA_02" dataDxfId="67"/>
    <tableColumn id="33" xr3:uid="{2E367093-3F3C-4FD2-88C5-474C344DEF3A}" name="DATA_03" dataDxfId="66"/>
    <tableColumn id="32" xr3:uid="{197D7C0A-9820-452D-A4C3-0D95D7C7DCC2}" name="DATA_04" dataDxfId="65"/>
    <tableColumn id="31" xr3:uid="{684485FA-0410-4C3F-8B75-7C81C4A2AB01}" name="DATA_05" dataDxfId="64"/>
    <tableColumn id="30" xr3:uid="{5F91C002-51AC-4FE8-BCA3-2D62C1D3345D}" name="DATA_06" dataDxfId="63"/>
    <tableColumn id="29" xr3:uid="{7E1D4045-3741-48C6-945C-B387C7974EDA}" name="DATA_07" dataDxfId="62"/>
    <tableColumn id="28" xr3:uid="{FEC38575-7892-4A32-A06A-4AEFA0668A67}" name="DATA_08" dataDxfId="61"/>
    <tableColumn id="35" xr3:uid="{4EBFAD39-EB84-4602-A1E5-3100D94B8307}" name="DATA_09" dataDxfId="59"/>
    <tableColumn id="34" xr3:uid="{4D635B16-1BCA-402A-A48C-38DD4988AEB9}" name="DATA_010" dataDxfId="60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C2D700-359A-4371-9F20-927D86E5D557}" name="tblRunData" displayName="tblRunData" ref="D4:Q5" insertRow="1" totalsRowShown="0" headerRowDxfId="117" dataDxfId="58" headerRowBorderDxfId="116" tableBorderDxfId="115" totalsRowBorderDxfId="114">
  <autoFilter ref="D4:Q5" xr:uid="{B6341548-634E-4723-9590-BFD572AC5EFC}"/>
  <tableColumns count="14">
    <tableColumn id="7" xr3:uid="{CD666520-BE16-499E-8056-705EC5F64F3E}" name="D" dataDxfId="57"/>
    <tableColumn id="8" xr3:uid="{0084808C-E969-42D5-B89F-3D16FF968CF6}" name="E" dataDxfId="56"/>
    <tableColumn id="9" xr3:uid="{BB6AE562-FF71-4C61-B184-61BB36820FA9}" name="C" dataDxfId="55"/>
    <tableColumn id="1" xr3:uid="{1B15667E-DE6F-4369-88CA-9BCBFBAF3982}" name="ACTION" dataDxfId="54"/>
    <tableColumn id="12" xr3:uid="{97180583-957C-4F93-9965-2BB78E216255}" name="RUN_NAME" dataDxfId="53"/>
    <tableColumn id="4" xr3:uid="{FCCAF96D-E6D5-4CE3-BA29-A99B69E248EE}" name="SCN_ID" dataDxfId="52"/>
    <tableColumn id="2" xr3:uid="{28DC18A6-E4DE-4DD8-81B0-8E9ACC1705F4}" name="VARIABLE_NAME" dataDxfId="51"/>
    <tableColumn id="3" xr3:uid="{8C62738F-9EA4-4C77-A854-8263E25BEDBA}" name="DATA" dataDxfId="50"/>
    <tableColumn id="10" xr3:uid="{935E1BC4-1133-49D9-B754-3AA4719B72D0}" name="DATASET_ID" dataDxfId="49"/>
    <tableColumn id="11" xr3:uid="{5E0E8D1A-0070-4818-9358-1D60AF7B5AD8}" name="ITERATION" dataDxfId="48"/>
    <tableColumn id="5" xr3:uid="{5E5698DD-908E-45EC-BC7B-899FB22F8DDC}" name="EXECUTED_BY" dataDxfId="46"/>
    <tableColumn id="14" xr3:uid="{5F8A33A3-FBE9-4EBD-AF38-7B777CE9E07B}" name="EXECUTED_DATE" dataDxfId="44"/>
    <tableColumn id="13" xr3:uid="{0D35FA0B-831A-49AF-8440-A313DD97B3CB}" name="IS_EXECUTION" dataDxfId="45"/>
    <tableColumn id="6" xr3:uid="{2C776F5B-5136-4274-8C2D-9AE8A9A53DCC}" name="DO_NOT_DELETE" dataDxfId="47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42FC4A5-AC83-4782-AE1A-C4416831E3CF}" name="tblRunChart" displayName="tblRunChart" ref="D4:P5" insertRow="1" totalsRowShown="0" headerRowDxfId="113" dataDxfId="17" headerRowBorderDxfId="112" tableBorderDxfId="111" totalsRowBorderDxfId="110">
  <autoFilter ref="D4:P5" xr:uid="{B6341548-634E-4723-9590-BFD572AC5EFC}"/>
  <tableColumns count="13">
    <tableColumn id="7" xr3:uid="{9DB84554-4F5A-41F8-8999-C8378CEFD56E}" name="D" dataDxfId="16"/>
    <tableColumn id="8" xr3:uid="{D50F4AC7-C35E-4D69-AD0E-BFB63DE552A1}" name="E" dataDxfId="15"/>
    <tableColumn id="9" xr3:uid="{F61E463F-56CA-4AD8-A279-05A11D03550C}" name="C" dataDxfId="14"/>
    <tableColumn id="1" xr3:uid="{003DB409-6295-4C0C-AA71-33769159B36B}" name="ACTION" dataDxfId="13"/>
    <tableColumn id="2" xr3:uid="{3949AFE0-E0F0-4BAC-92A2-4F434D9CB7C3}" name="RUNID" dataDxfId="12"/>
    <tableColumn id="4" xr3:uid="{5A023E63-8F53-499E-803E-271CB074E06E}" name="SCN_ID" dataDxfId="11"/>
    <tableColumn id="3" xr3:uid="{C786E8AB-B815-40C2-BC0F-CFA06566A63B}" name="SCN_DESCRIPTION" dataDxfId="10"/>
    <tableColumn id="12" xr3:uid="{A4919548-6970-43C2-8E69-2B8825B75B66}" name="TAG" dataDxfId="9"/>
    <tableColumn id="5" xr3:uid="{DC9CCD2B-5F87-4ECB-8CE1-899AEE56B217}" name="EXECUTION_SEQUENCE" dataDxfId="8"/>
    <tableColumn id="11" xr3:uid="{BCDF8AFA-A1E1-4D02-9E0A-DB9A1FDCADE0}" name="EXECUTED_BY" dataDxfId="7"/>
    <tableColumn id="10" xr3:uid="{DBF0EF6B-567F-4763-BD84-0A34668A498E}" name="DATASET_ID" dataDxfId="6"/>
    <tableColumn id="13" xr3:uid="{812887BE-1B9C-41A1-8523-0264A1642A1A}" name="EXECUTE" dataDxfId="5"/>
    <tableColumn id="6" xr3:uid="{C059668D-03EF-47FD-9E59-7C1101F705CF}" name="ITERATION_COUNT" dataDxfId="4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F1B82-F983-433D-B5FE-99091A76EBAD}" name="tblCData" displayName="tblCData" ref="D4:J5" insertRow="1" totalsRowShown="0" headerRowDxfId="109" dataDxfId="107" headerRowBorderDxfId="108" tableBorderDxfId="106" totalsRowBorderDxfId="105">
  <autoFilter ref="D4:J5" xr:uid="{B6341548-634E-4723-9590-BFD572AC5EFC}"/>
  <tableColumns count="7">
    <tableColumn id="7" xr3:uid="{B5C1DA5D-9376-4268-962E-964A5644DFA7}" name="D" dataDxfId="104"/>
    <tableColumn id="8" xr3:uid="{0912C59C-FC42-464D-AC80-AAD55D389B1E}" name="E" dataDxfId="103"/>
    <tableColumn id="9" xr3:uid="{4936B6EA-8FFD-4746-89F7-6B48B9BA9F83}" name="C" dataDxfId="102"/>
    <tableColumn id="1" xr3:uid="{DF4FCD68-0359-4B74-8DB3-0417B3714286}" name="ACTION" dataDxfId="101"/>
    <tableColumn id="2" xr3:uid="{16BFA2A6-7872-4611-ACA1-D958DD173A63}" name="COMMON_ID" dataDxfId="100"/>
    <tableColumn id="4" xr3:uid="{DCB491B7-153E-478C-8B98-C9839082C76F}" name="VARIABLE_NAME" dataDxfId="99"/>
    <tableColumn id="3" xr3:uid="{BCD1CE77-E16E-4E1D-B2A5-A91FC2B620C0}" name="DATA" dataDxfId="98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D702A3-6EA1-4032-95D8-1DD83B25A444}" name="tblEnum" displayName="tblEnum" ref="A1:C20" totalsRowShown="0" headerRowDxfId="97" dataDxfId="3" headerRowBorderDxfId="96" tableBorderDxfId="95" totalsRowBorderDxfId="94">
  <autoFilter ref="A1:C20" xr:uid="{E6803338-517E-4A34-8823-2CD47DA93B30}"/>
  <tableColumns count="3">
    <tableColumn id="4" xr3:uid="{AF800D5F-5CB9-4A79-BDD2-22B6D8991010}" name="LIST_ID" dataDxfId="2"/>
    <tableColumn id="1" xr3:uid="{8ECAD143-A16E-460E-9D55-74B9763ED399}" name="ENAME" dataDxfId="1"/>
    <tableColumn id="2" xr3:uid="{CB673040-D771-49E5-8BD6-7F47E3A03289}" name="EVALUE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FF00"/>
        </a:solidFill>
        <a:ln w="12700" cap="flat" cmpd="sng" algn="ctr">
          <a:noFill/>
          <a:prstDash val="solid"/>
          <a:miter lim="800000"/>
        </a:ln>
        <a:effectLst/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image" Target="../media/image14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5" Type="http://schemas.openxmlformats.org/officeDocument/2006/relationships/image" Target="../media/image16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.xml"/><Relationship Id="rId5" Type="http://schemas.openxmlformats.org/officeDocument/2006/relationships/image" Target="../media/image17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0.xml"/><Relationship Id="rId5" Type="http://schemas.openxmlformats.org/officeDocument/2006/relationships/image" Target="../media/image23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24A00-440D-4804-B695-365AEAC52F26}">
  <sheetPr codeName="sh01"/>
  <dimension ref="A1:P7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2" width="7.42578125" hidden="1" customWidth="1"/>
    <col min="3" max="3" width="3.28515625" customWidth="1"/>
    <col min="4" max="6" width="4" customWidth="1"/>
    <col min="7" max="7" width="4" hidden="1" customWidth="1"/>
    <col min="8" max="8" width="12.140625" hidden="1" customWidth="1"/>
    <col min="9" max="9" width="28.85546875" customWidth="1"/>
    <col min="10" max="10" width="39.7109375" customWidth="1"/>
    <col min="11" max="11" width="17.140625" customWidth="1"/>
    <col min="12" max="12" width="96.5703125" customWidth="1"/>
    <col min="13" max="13" width="12.7109375" customWidth="1"/>
    <col min="14" max="14" width="11.140625" customWidth="1"/>
    <col min="15" max="16" width="1.140625" customWidth="1"/>
    <col min="17" max="16384" width="1.140625" hidden="1"/>
  </cols>
  <sheetData>
    <row r="1" spans="1:14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47"/>
      <c r="H1" s="2" t="s">
        <v>20</v>
      </c>
      <c r="I1" s="2"/>
      <c r="J1" s="2"/>
      <c r="K1" s="13"/>
      <c r="M1" s="38" t="str">
        <f>IF($B$7&gt;0,"Data not saved","")</f>
        <v/>
      </c>
    </row>
    <row r="2" spans="1:14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4"/>
      <c r="J2" s="5"/>
      <c r="K2" s="1"/>
      <c r="L2" s="1"/>
      <c r="M2" s="1"/>
      <c r="N2" s="42"/>
    </row>
    <row r="3" spans="1:14" ht="5.25" customHeight="1" x14ac:dyDescent="0.25">
      <c r="A3" s="15" t="s">
        <v>23</v>
      </c>
      <c r="B3" s="17">
        <v>2</v>
      </c>
      <c r="C3" s="9"/>
    </row>
    <row r="4" spans="1:14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3" t="s">
        <v>2</v>
      </c>
      <c r="H4" s="24" t="s">
        <v>11</v>
      </c>
      <c r="I4" s="25" t="s">
        <v>12</v>
      </c>
      <c r="J4" s="25" t="s">
        <v>13</v>
      </c>
      <c r="K4" s="25" t="s">
        <v>14</v>
      </c>
      <c r="L4" s="25" t="s">
        <v>15</v>
      </c>
      <c r="M4" s="25" t="s">
        <v>65</v>
      </c>
    </row>
    <row r="5" spans="1:14" ht="16.5" customHeight="1" x14ac:dyDescent="0.25">
      <c r="A5" s="15" t="s">
        <v>21</v>
      </c>
      <c r="B5" s="17"/>
      <c r="D5" s="57"/>
      <c r="E5" s="57"/>
      <c r="F5" s="57"/>
      <c r="G5" s="57"/>
      <c r="H5" s="57"/>
      <c r="I5" s="57"/>
      <c r="J5" s="57"/>
      <c r="K5" s="57"/>
      <c r="L5" s="57"/>
      <c r="M5" s="57"/>
    </row>
    <row r="6" spans="1:14" ht="16.5" customHeight="1" x14ac:dyDescent="0.25">
      <c r="A6" s="15" t="s">
        <v>22</v>
      </c>
      <c r="B6" s="18"/>
    </row>
    <row r="7" spans="1:14" ht="16.5" customHeight="1" x14ac:dyDescent="0.25">
      <c r="A7" s="15" t="s">
        <v>25</v>
      </c>
      <c r="B7">
        <f>COUNTIFS(tblOR[OR_ID],"A")+COUNTIFS(tblOR[OR_ID],"M")</f>
        <v>0</v>
      </c>
    </row>
  </sheetData>
  <sheetProtection algorithmName="SHA-512" hashValue="MKYEa8o2wH28OsGT98joaiuHzpfSEuePKUGhEV0N9WHQEBh+zue76lj8B7OTT6/Yp3SB/83VVZP0E0269F3opw==" saltValue="HVYAh8i3QHVAKNd8Av/yNg==" spinCount="100000" sheet="1" objects="1" scenarios="1" autoFilter="0"/>
  <dataConsolidate/>
  <phoneticPr fontId="7" type="noConversion"/>
  <dataValidations count="2">
    <dataValidation allowBlank="1" showInputMessage="1" showErrorMessage="1" errorTitle="Invalid value" error="Please select value from the list" promptTitle="Select a value" prompt="Please select value from the list" sqref="L5" xr:uid="{E3187BDC-47A0-41C4-ABB4-6C6CA338EEEC}"/>
    <dataValidation type="list" allowBlank="1" showInputMessage="1" showErrorMessage="1" errorTitle="Invalid value" error="Please select value from the list" promptTitle="Select a value" prompt="Please select value from the list" sqref="K5" xr:uid="{A7BE3419-E4F0-4723-BC11-91460D3E1756}">
      <formula1>"button,textbox,text,dropdown,url"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394A3-828A-4661-BAF9-3BEE78153CA2}">
  <sheetPr codeName="sh02"/>
  <dimension ref="A1:K7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0" hidden="1" customWidth="1"/>
    <col min="2" max="2" width="7.5703125" hidden="1" customWidth="1"/>
    <col min="3" max="3" width="3.28515625" customWidth="1"/>
    <col min="4" max="6" width="4" customWidth="1"/>
    <col min="7" max="7" width="12.42578125" hidden="1" customWidth="1"/>
    <col min="8" max="8" width="20" customWidth="1"/>
    <col min="9" max="9" width="50.7109375" customWidth="1"/>
    <col min="10" max="10" width="29.140625" customWidth="1"/>
    <col min="11" max="11" width="6.5703125" customWidth="1"/>
    <col min="12" max="16384" width="12.140625" hidden="1"/>
  </cols>
  <sheetData>
    <row r="1" spans="1:11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27" t="str">
        <f>IF($B$7&gt;0,"Data not saved","")</f>
        <v/>
      </c>
    </row>
    <row r="2" spans="1:11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5" t="s">
        <v>23</v>
      </c>
      <c r="B3" s="17">
        <v>5</v>
      </c>
      <c r="C3" s="9"/>
    </row>
    <row r="4" spans="1:11" ht="15.75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18</v>
      </c>
      <c r="I4" s="20" t="s">
        <v>19</v>
      </c>
      <c r="J4" s="21"/>
    </row>
    <row r="5" spans="1:11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</row>
    <row r="6" spans="1:11" ht="16.5" customHeight="1" x14ac:dyDescent="0.25">
      <c r="A6" s="15" t="s">
        <v>22</v>
      </c>
      <c r="B6" s="17"/>
    </row>
    <row r="7" spans="1:11" ht="16.5" customHeight="1" x14ac:dyDescent="0.25">
      <c r="A7" s="15" t="s">
        <v>25</v>
      </c>
      <c r="B7" s="18">
        <f>COUNTIFS(tblFuncMaster[ACTION],"A")+COUNTIFS(tblFuncMaster[ACTION],"M")</f>
        <v>0</v>
      </c>
    </row>
  </sheetData>
  <sheetProtection algorithmName="SHA-512" hashValue="iRrg2YWpkFuvcpttQqtd6gt50MkFovbiBb7Cb3QELXAAvr1PAYwBFdZHM8SMznubVhFl4jkeEHlevuNic+mFzw==" saltValue="gD0nC08Vfujd57ckkJGOdA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0C0C-F28C-4B75-8DAF-606A1B0A48B9}">
  <sheetPr codeName="sh03"/>
  <dimension ref="A1:J330"/>
  <sheetViews>
    <sheetView showGridLines="0" topLeftCell="C1" zoomScaleNormal="100" workbookViewId="0">
      <pane ySplit="4" topLeftCell="A14" activePane="bottomLeft" state="frozen"/>
      <selection pane="bottomLeft" activeCell="I17" sqref="I17"/>
    </sheetView>
  </sheetViews>
  <sheetFormatPr defaultColWidth="0" defaultRowHeight="16.5" customHeight="1" x14ac:dyDescent="0.25"/>
  <cols>
    <col min="1" max="1" width="18.85546875" hidden="1" customWidth="1"/>
    <col min="2" max="2" width="24.28515625" hidden="1" customWidth="1"/>
    <col min="3" max="3" width="3.28515625" customWidth="1"/>
    <col min="4" max="6" width="4" customWidth="1"/>
    <col min="7" max="7" width="12.140625" hidden="1" customWidth="1"/>
    <col min="8" max="8" width="20" customWidth="1"/>
    <col min="9" max="9" width="64.28515625" customWidth="1"/>
    <col min="10" max="10" width="16.140625" customWidth="1"/>
    <col min="11" max="16384" width="9.140625" hidden="1"/>
  </cols>
  <sheetData>
    <row r="1" spans="1:10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33"/>
      <c r="J1" s="28" t="str">
        <f>IF($B$7&gt;0,"Data not saved","")</f>
        <v/>
      </c>
    </row>
    <row r="2" spans="1:10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</row>
    <row r="3" spans="1:10" ht="5.25" customHeight="1" thickBot="1" x14ac:dyDescent="0.3">
      <c r="A3" s="15" t="s">
        <v>23</v>
      </c>
      <c r="B3" s="17">
        <v>17</v>
      </c>
      <c r="C3" s="9"/>
    </row>
    <row r="4" spans="1:10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28</v>
      </c>
      <c r="I4" s="20" t="s">
        <v>29</v>
      </c>
    </row>
    <row r="5" spans="1:10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</row>
    <row r="6" spans="1:10" ht="16.5" customHeight="1" x14ac:dyDescent="0.25">
      <c r="A6" s="15" t="s">
        <v>22</v>
      </c>
      <c r="B6" s="17"/>
    </row>
    <row r="7" spans="1:10" ht="16.5" customHeight="1" x14ac:dyDescent="0.25">
      <c r="A7" s="15" t="s">
        <v>25</v>
      </c>
      <c r="B7" s="18">
        <f>COUNTIFS(tblSubFuncMaster[ACTION],"A")+COUNTIFS(tblSubFuncMaster[ACTION],"M")</f>
        <v>0</v>
      </c>
    </row>
    <row r="8" spans="1:10" ht="16.5" customHeight="1" x14ac:dyDescent="0.25">
      <c r="A8" s="16"/>
      <c r="B8" s="19"/>
    </row>
    <row r="9" spans="1:10" ht="16.5" customHeight="1" x14ac:dyDescent="0.25">
      <c r="A9" s="16"/>
      <c r="B9" s="19"/>
    </row>
    <row r="10" spans="1:10" ht="16.5" customHeight="1" x14ac:dyDescent="0.25">
      <c r="A10" s="16"/>
      <c r="B10" s="19"/>
    </row>
    <row r="11" spans="1:10" ht="16.5" customHeight="1" x14ac:dyDescent="0.25">
      <c r="A11" s="16"/>
      <c r="B11" s="19"/>
    </row>
    <row r="12" spans="1:10" ht="16.5" customHeight="1" x14ac:dyDescent="0.25">
      <c r="A12" s="16"/>
      <c r="B12" s="19"/>
    </row>
    <row r="13" spans="1:10" ht="16.5" customHeight="1" x14ac:dyDescent="0.25">
      <c r="A13" s="16"/>
      <c r="B13" s="19"/>
    </row>
    <row r="14" spans="1:10" ht="16.5" customHeight="1" x14ac:dyDescent="0.25">
      <c r="A14" s="16"/>
      <c r="B14" s="19"/>
    </row>
    <row r="15" spans="1:10" ht="16.5" customHeight="1" x14ac:dyDescent="0.25">
      <c r="A15" s="16"/>
      <c r="B15" s="19"/>
    </row>
    <row r="16" spans="1:10" ht="16.5" customHeight="1" x14ac:dyDescent="0.25">
      <c r="A16" s="16"/>
      <c r="B16" s="19"/>
    </row>
    <row r="17" spans="1:2" ht="16.5" customHeight="1" x14ac:dyDescent="0.25">
      <c r="A17" s="16"/>
      <c r="B17" s="19"/>
    </row>
    <row r="18" spans="1:2" ht="16.5" customHeight="1" x14ac:dyDescent="0.25">
      <c r="A18" s="16"/>
      <c r="B18" s="19"/>
    </row>
    <row r="19" spans="1:2" ht="16.5" customHeight="1" x14ac:dyDescent="0.25">
      <c r="A19" s="16"/>
      <c r="B19" s="19"/>
    </row>
    <row r="20" spans="1:2" ht="16.5" customHeight="1" x14ac:dyDescent="0.25">
      <c r="A20" s="16"/>
      <c r="B20" s="19"/>
    </row>
    <row r="21" spans="1:2" ht="16.5" customHeight="1" x14ac:dyDescent="0.25">
      <c r="A21" s="16"/>
      <c r="B21" s="19"/>
    </row>
    <row r="22" spans="1:2" ht="16.5" customHeight="1" x14ac:dyDescent="0.25">
      <c r="A22" s="16"/>
      <c r="B22" s="19"/>
    </row>
    <row r="23" spans="1:2" ht="16.5" customHeight="1" x14ac:dyDescent="0.25">
      <c r="A23" s="16"/>
      <c r="B23" s="19"/>
    </row>
    <row r="24" spans="1:2" ht="16.5" customHeight="1" x14ac:dyDescent="0.25">
      <c r="A24" s="16"/>
      <c r="B24" s="19"/>
    </row>
    <row r="25" spans="1:2" ht="16.5" customHeight="1" x14ac:dyDescent="0.25">
      <c r="A25" s="16"/>
      <c r="B25" s="19"/>
    </row>
    <row r="26" spans="1:2" ht="16.5" customHeight="1" x14ac:dyDescent="0.25">
      <c r="A26" s="16"/>
      <c r="B26" s="19"/>
    </row>
    <row r="27" spans="1:2" ht="16.5" customHeight="1" x14ac:dyDescent="0.25">
      <c r="A27" s="16"/>
      <c r="B27" s="19"/>
    </row>
    <row r="28" spans="1:2" ht="16.5" customHeight="1" x14ac:dyDescent="0.25">
      <c r="A28" s="16"/>
      <c r="B28" s="19"/>
    </row>
    <row r="29" spans="1:2" ht="16.5" customHeight="1" x14ac:dyDescent="0.25">
      <c r="A29" s="16"/>
      <c r="B29" s="19"/>
    </row>
    <row r="30" spans="1:2" ht="16.5" customHeight="1" x14ac:dyDescent="0.25">
      <c r="A30" s="16"/>
      <c r="B30" s="19"/>
    </row>
    <row r="31" spans="1:2" ht="16.5" customHeight="1" x14ac:dyDescent="0.25">
      <c r="A31" s="16"/>
      <c r="B31" s="19"/>
    </row>
    <row r="32" spans="1:2" ht="16.5" customHeight="1" x14ac:dyDescent="0.25">
      <c r="A32" s="16"/>
      <c r="B32" s="19"/>
    </row>
    <row r="33" spans="1:2" ht="16.5" customHeight="1" x14ac:dyDescent="0.25">
      <c r="A33" s="16"/>
      <c r="B33" s="19"/>
    </row>
    <row r="34" spans="1:2" ht="16.5" customHeight="1" x14ac:dyDescent="0.25">
      <c r="A34" s="16"/>
      <c r="B34" s="19"/>
    </row>
    <row r="35" spans="1:2" ht="16.5" customHeight="1" x14ac:dyDescent="0.25">
      <c r="A35" s="16"/>
      <c r="B35" s="19"/>
    </row>
    <row r="36" spans="1:2" ht="16.5" customHeight="1" x14ac:dyDescent="0.25">
      <c r="A36" s="16"/>
      <c r="B36" s="19"/>
    </row>
    <row r="37" spans="1:2" ht="16.5" customHeight="1" x14ac:dyDescent="0.25">
      <c r="A37" s="16"/>
      <c r="B37" s="19"/>
    </row>
    <row r="38" spans="1:2" ht="16.5" customHeight="1" x14ac:dyDescent="0.25">
      <c r="A38" s="16"/>
      <c r="B38" s="19"/>
    </row>
    <row r="39" spans="1:2" ht="16.5" customHeight="1" x14ac:dyDescent="0.25">
      <c r="A39" s="16"/>
      <c r="B39" s="19"/>
    </row>
    <row r="40" spans="1:2" ht="16.5" customHeight="1" x14ac:dyDescent="0.25">
      <c r="A40" s="16"/>
      <c r="B40" s="19"/>
    </row>
    <row r="41" spans="1:2" ht="16.5" customHeight="1" x14ac:dyDescent="0.25">
      <c r="A41" s="16"/>
      <c r="B41" s="19"/>
    </row>
    <row r="42" spans="1:2" ht="16.5" customHeight="1" x14ac:dyDescent="0.25">
      <c r="A42" s="16"/>
      <c r="B42" s="19"/>
    </row>
    <row r="43" spans="1:2" ht="16.5" customHeight="1" x14ac:dyDescent="0.25">
      <c r="A43" s="16"/>
      <c r="B43" s="19"/>
    </row>
    <row r="44" spans="1:2" ht="16.5" customHeight="1" x14ac:dyDescent="0.25">
      <c r="A44" s="16"/>
      <c r="B44" s="19"/>
    </row>
    <row r="45" spans="1:2" ht="16.5" customHeight="1" x14ac:dyDescent="0.25">
      <c r="A45" s="16"/>
      <c r="B45" s="19"/>
    </row>
    <row r="46" spans="1:2" ht="16.5" customHeight="1" x14ac:dyDescent="0.25">
      <c r="A46" s="16"/>
      <c r="B46" s="19"/>
    </row>
    <row r="47" spans="1:2" ht="16.5" customHeight="1" x14ac:dyDescent="0.25">
      <c r="A47" s="16"/>
      <c r="B47" s="19"/>
    </row>
    <row r="48" spans="1:2" ht="16.5" customHeight="1" x14ac:dyDescent="0.25">
      <c r="A48" s="16"/>
      <c r="B48" s="19"/>
    </row>
    <row r="49" spans="1:2" ht="16.5" customHeight="1" x14ac:dyDescent="0.25">
      <c r="A49" s="16"/>
      <c r="B49" s="19"/>
    </row>
    <row r="50" spans="1:2" ht="16.5" customHeight="1" x14ac:dyDescent="0.25">
      <c r="A50" s="16"/>
      <c r="B50" s="19"/>
    </row>
    <row r="51" spans="1:2" ht="16.5" customHeight="1" x14ac:dyDescent="0.25">
      <c r="A51" s="16"/>
      <c r="B51" s="19"/>
    </row>
    <row r="52" spans="1:2" ht="16.5" customHeight="1" x14ac:dyDescent="0.25">
      <c r="A52" s="16"/>
      <c r="B52" s="19"/>
    </row>
    <row r="53" spans="1:2" ht="16.5" customHeight="1" x14ac:dyDescent="0.25">
      <c r="A53" s="16"/>
      <c r="B53" s="19"/>
    </row>
    <row r="54" spans="1:2" ht="16.5" customHeight="1" x14ac:dyDescent="0.25">
      <c r="A54" s="16"/>
      <c r="B54" s="19"/>
    </row>
    <row r="55" spans="1:2" ht="16.5" customHeight="1" x14ac:dyDescent="0.25">
      <c r="A55" s="16"/>
      <c r="B55" s="19"/>
    </row>
    <row r="56" spans="1:2" ht="16.5" customHeight="1" x14ac:dyDescent="0.25">
      <c r="A56" s="16"/>
      <c r="B56" s="19"/>
    </row>
    <row r="57" spans="1:2" ht="16.5" customHeight="1" x14ac:dyDescent="0.25">
      <c r="A57" s="16"/>
      <c r="B57" s="19"/>
    </row>
    <row r="58" spans="1:2" ht="16.5" customHeight="1" x14ac:dyDescent="0.25">
      <c r="A58" s="16"/>
      <c r="B58" s="19"/>
    </row>
    <row r="59" spans="1:2" ht="16.5" customHeight="1" x14ac:dyDescent="0.25">
      <c r="A59" s="16"/>
      <c r="B59" s="19"/>
    </row>
    <row r="60" spans="1:2" ht="16.5" customHeight="1" x14ac:dyDescent="0.25">
      <c r="A60" s="16"/>
      <c r="B60" s="19"/>
    </row>
    <row r="61" spans="1:2" ht="16.5" customHeight="1" x14ac:dyDescent="0.25">
      <c r="A61" s="16"/>
      <c r="B61" s="19"/>
    </row>
    <row r="62" spans="1:2" ht="16.5" customHeight="1" x14ac:dyDescent="0.25">
      <c r="A62" s="16"/>
      <c r="B62" s="19"/>
    </row>
    <row r="63" spans="1:2" ht="16.5" customHeight="1" x14ac:dyDescent="0.25">
      <c r="A63" s="16"/>
      <c r="B63" s="19"/>
    </row>
    <row r="64" spans="1:2" ht="16.5" customHeight="1" x14ac:dyDescent="0.25">
      <c r="A64" s="16"/>
      <c r="B64" s="19"/>
    </row>
    <row r="65" spans="1:2" ht="16.5" customHeight="1" x14ac:dyDescent="0.25">
      <c r="A65" s="16"/>
      <c r="B65" s="19"/>
    </row>
    <row r="66" spans="1:2" ht="16.5" customHeight="1" x14ac:dyDescent="0.25">
      <c r="A66" s="16"/>
      <c r="B66" s="19"/>
    </row>
    <row r="67" spans="1:2" ht="16.5" customHeight="1" x14ac:dyDescent="0.25">
      <c r="A67" s="16"/>
      <c r="B67" s="19"/>
    </row>
    <row r="68" spans="1:2" ht="16.5" customHeight="1" x14ac:dyDescent="0.25">
      <c r="A68" s="16"/>
      <c r="B68" s="19"/>
    </row>
    <row r="69" spans="1:2" ht="16.5" customHeight="1" x14ac:dyDescent="0.25">
      <c r="A69" s="16"/>
      <c r="B69" s="19"/>
    </row>
    <row r="70" spans="1:2" ht="16.5" customHeight="1" x14ac:dyDescent="0.25">
      <c r="A70" s="16"/>
      <c r="B70" s="19"/>
    </row>
    <row r="71" spans="1:2" ht="16.5" customHeight="1" x14ac:dyDescent="0.25">
      <c r="A71" s="16"/>
      <c r="B71" s="19"/>
    </row>
    <row r="72" spans="1:2" ht="16.5" customHeight="1" x14ac:dyDescent="0.25">
      <c r="A72" s="16"/>
      <c r="B72" s="19"/>
    </row>
    <row r="73" spans="1:2" ht="16.5" customHeight="1" x14ac:dyDescent="0.25">
      <c r="A73" s="16"/>
      <c r="B73" s="19"/>
    </row>
    <row r="74" spans="1:2" ht="16.5" customHeight="1" x14ac:dyDescent="0.25">
      <c r="A74" s="16"/>
      <c r="B74" s="19"/>
    </row>
    <row r="75" spans="1:2" ht="16.5" customHeight="1" x14ac:dyDescent="0.25">
      <c r="A75" s="16"/>
      <c r="B75" s="19"/>
    </row>
    <row r="76" spans="1:2" ht="16.5" customHeight="1" x14ac:dyDescent="0.25">
      <c r="A76" s="16"/>
      <c r="B76" s="19"/>
    </row>
    <row r="77" spans="1:2" ht="16.5" customHeight="1" x14ac:dyDescent="0.25">
      <c r="A77" s="16"/>
      <c r="B77" s="19"/>
    </row>
    <row r="78" spans="1:2" ht="16.5" customHeight="1" x14ac:dyDescent="0.25">
      <c r="A78" s="16"/>
      <c r="B78" s="19"/>
    </row>
    <row r="79" spans="1:2" ht="16.5" customHeight="1" x14ac:dyDescent="0.25">
      <c r="A79" s="16"/>
      <c r="B79" s="19"/>
    </row>
    <row r="80" spans="1:2" ht="16.5" customHeight="1" x14ac:dyDescent="0.25">
      <c r="A80" s="16"/>
      <c r="B80" s="19"/>
    </row>
    <row r="81" spans="1:2" ht="16.5" customHeight="1" x14ac:dyDescent="0.25">
      <c r="A81" s="16"/>
      <c r="B81" s="19"/>
    </row>
    <row r="82" spans="1:2" ht="16.5" customHeight="1" x14ac:dyDescent="0.25">
      <c r="A82" s="16"/>
      <c r="B82" s="19"/>
    </row>
    <row r="83" spans="1:2" ht="16.5" customHeight="1" x14ac:dyDescent="0.25">
      <c r="A83" s="16"/>
      <c r="B83" s="19"/>
    </row>
    <row r="84" spans="1:2" ht="16.5" customHeight="1" x14ac:dyDescent="0.25">
      <c r="A84" s="16"/>
      <c r="B84" s="19"/>
    </row>
    <row r="85" spans="1:2" ht="16.5" customHeight="1" x14ac:dyDescent="0.25">
      <c r="A85" s="16"/>
      <c r="B85" s="19"/>
    </row>
    <row r="86" spans="1:2" ht="16.5" customHeight="1" x14ac:dyDescent="0.25">
      <c r="A86" s="16"/>
      <c r="B86" s="19"/>
    </row>
    <row r="87" spans="1:2" ht="16.5" customHeight="1" x14ac:dyDescent="0.25">
      <c r="A87" s="16"/>
      <c r="B87" s="19"/>
    </row>
    <row r="88" spans="1:2" ht="16.5" customHeight="1" x14ac:dyDescent="0.25">
      <c r="A88" s="16"/>
      <c r="B88" s="19"/>
    </row>
    <row r="89" spans="1:2" ht="16.5" customHeight="1" x14ac:dyDescent="0.25">
      <c r="A89" s="16"/>
      <c r="B89" s="19"/>
    </row>
    <row r="90" spans="1:2" ht="16.5" customHeight="1" x14ac:dyDescent="0.25">
      <c r="A90" s="16"/>
      <c r="B90" s="19"/>
    </row>
    <row r="91" spans="1:2" ht="16.5" customHeight="1" x14ac:dyDescent="0.25">
      <c r="A91" s="16"/>
      <c r="B91" s="19"/>
    </row>
    <row r="92" spans="1:2" ht="16.5" customHeight="1" x14ac:dyDescent="0.25">
      <c r="A92" s="16"/>
      <c r="B92" s="19"/>
    </row>
    <row r="93" spans="1:2" ht="16.5" customHeight="1" x14ac:dyDescent="0.25">
      <c r="A93" s="16"/>
      <c r="B93" s="19"/>
    </row>
    <row r="94" spans="1:2" ht="16.5" customHeight="1" x14ac:dyDescent="0.25">
      <c r="A94" s="16"/>
      <c r="B94" s="19"/>
    </row>
    <row r="95" spans="1:2" ht="16.5" customHeight="1" x14ac:dyDescent="0.25">
      <c r="A95" s="16"/>
      <c r="B95" s="19"/>
    </row>
    <row r="96" spans="1:2" ht="16.5" customHeight="1" x14ac:dyDescent="0.25">
      <c r="A96" s="16"/>
      <c r="B96" s="19"/>
    </row>
    <row r="97" spans="1:2" ht="16.5" customHeight="1" x14ac:dyDescent="0.25">
      <c r="A97" s="16"/>
      <c r="B97" s="19"/>
    </row>
    <row r="98" spans="1:2" ht="16.5" customHeight="1" x14ac:dyDescent="0.25">
      <c r="A98" s="16"/>
      <c r="B98" s="19"/>
    </row>
    <row r="99" spans="1:2" ht="16.5" customHeight="1" x14ac:dyDescent="0.25">
      <c r="A99" s="16"/>
      <c r="B99" s="19"/>
    </row>
    <row r="100" spans="1:2" ht="16.5" customHeight="1" x14ac:dyDescent="0.25">
      <c r="A100" s="16"/>
      <c r="B100" s="19"/>
    </row>
    <row r="101" spans="1:2" ht="16.5" customHeight="1" x14ac:dyDescent="0.25">
      <c r="A101" s="16"/>
      <c r="B101" s="19"/>
    </row>
    <row r="102" spans="1:2" ht="16.5" customHeight="1" x14ac:dyDescent="0.25">
      <c r="A102" s="16"/>
      <c r="B102" s="19"/>
    </row>
    <row r="103" spans="1:2" ht="16.5" customHeight="1" x14ac:dyDescent="0.25">
      <c r="A103" s="16"/>
      <c r="B103" s="19"/>
    </row>
    <row r="104" spans="1:2" ht="16.5" customHeight="1" x14ac:dyDescent="0.25">
      <c r="A104" s="16"/>
      <c r="B104" s="19"/>
    </row>
    <row r="105" spans="1:2" ht="16.5" customHeight="1" x14ac:dyDescent="0.25">
      <c r="A105" s="16"/>
      <c r="B105" s="19"/>
    </row>
    <row r="106" spans="1:2" ht="16.5" customHeight="1" x14ac:dyDescent="0.25">
      <c r="A106" s="16"/>
      <c r="B106" s="19"/>
    </row>
    <row r="107" spans="1:2" ht="16.5" customHeight="1" x14ac:dyDescent="0.25">
      <c r="A107" s="16"/>
      <c r="B107" s="19"/>
    </row>
    <row r="108" spans="1:2" ht="16.5" customHeight="1" x14ac:dyDescent="0.25">
      <c r="A108" s="16"/>
      <c r="B108" s="19"/>
    </row>
    <row r="109" spans="1:2" ht="16.5" customHeight="1" x14ac:dyDescent="0.25">
      <c r="A109" s="16"/>
      <c r="B109" s="19"/>
    </row>
    <row r="110" spans="1:2" ht="16.5" customHeight="1" x14ac:dyDescent="0.25">
      <c r="A110" s="16"/>
      <c r="B110" s="19"/>
    </row>
    <row r="111" spans="1:2" ht="16.5" customHeight="1" x14ac:dyDescent="0.25">
      <c r="A111" s="16"/>
      <c r="B111" s="19"/>
    </row>
    <row r="112" spans="1:2" ht="16.5" customHeight="1" x14ac:dyDescent="0.25">
      <c r="A112" s="16"/>
      <c r="B112" s="19"/>
    </row>
    <row r="113" spans="1:2" ht="16.5" customHeight="1" x14ac:dyDescent="0.25">
      <c r="A113" s="16"/>
      <c r="B113" s="19"/>
    </row>
    <row r="114" spans="1:2" ht="16.5" customHeight="1" x14ac:dyDescent="0.25">
      <c r="A114" s="16"/>
      <c r="B114" s="19"/>
    </row>
    <row r="115" spans="1:2" ht="16.5" customHeight="1" x14ac:dyDescent="0.25">
      <c r="A115" s="16"/>
      <c r="B115" s="19"/>
    </row>
    <row r="116" spans="1:2" ht="16.5" customHeight="1" x14ac:dyDescent="0.25">
      <c r="A116" s="16"/>
      <c r="B116" s="19"/>
    </row>
    <row r="117" spans="1:2" ht="16.5" customHeight="1" x14ac:dyDescent="0.25">
      <c r="A117" s="16"/>
      <c r="B117" s="19"/>
    </row>
    <row r="118" spans="1:2" ht="16.5" customHeight="1" x14ac:dyDescent="0.25">
      <c r="A118" s="16"/>
      <c r="B118" s="19"/>
    </row>
    <row r="119" spans="1:2" ht="16.5" customHeight="1" x14ac:dyDescent="0.25">
      <c r="A119" s="16"/>
      <c r="B119" s="19"/>
    </row>
    <row r="120" spans="1:2" ht="16.5" customHeight="1" x14ac:dyDescent="0.25">
      <c r="A120" s="16"/>
      <c r="B120" s="19"/>
    </row>
    <row r="121" spans="1:2" ht="16.5" customHeight="1" x14ac:dyDescent="0.25">
      <c r="A121" s="16"/>
      <c r="B121" s="19"/>
    </row>
    <row r="122" spans="1:2" ht="16.5" customHeight="1" x14ac:dyDescent="0.25">
      <c r="A122" s="16"/>
      <c r="B122" s="19"/>
    </row>
    <row r="123" spans="1:2" ht="16.5" customHeight="1" x14ac:dyDescent="0.25">
      <c r="A123" s="16"/>
      <c r="B123" s="19"/>
    </row>
    <row r="124" spans="1:2" ht="16.5" customHeight="1" x14ac:dyDescent="0.25">
      <c r="A124" s="16"/>
      <c r="B124" s="19"/>
    </row>
    <row r="125" spans="1:2" ht="16.5" customHeight="1" x14ac:dyDescent="0.25">
      <c r="A125" s="16"/>
      <c r="B125" s="19"/>
    </row>
    <row r="126" spans="1:2" ht="16.5" customHeight="1" x14ac:dyDescent="0.25">
      <c r="A126" s="16"/>
      <c r="B126" s="19"/>
    </row>
    <row r="127" spans="1:2" ht="16.5" customHeight="1" x14ac:dyDescent="0.25">
      <c r="A127" s="16"/>
      <c r="B127" s="19"/>
    </row>
    <row r="128" spans="1:2" ht="16.5" customHeight="1" x14ac:dyDescent="0.25">
      <c r="A128" s="16"/>
      <c r="B128" s="19"/>
    </row>
    <row r="129" spans="1:2" ht="16.5" customHeight="1" x14ac:dyDescent="0.25">
      <c r="A129" s="16"/>
      <c r="B129" s="19"/>
    </row>
    <row r="130" spans="1:2" ht="16.5" customHeight="1" x14ac:dyDescent="0.25">
      <c r="A130" s="16"/>
      <c r="B130" s="19"/>
    </row>
    <row r="131" spans="1:2" ht="16.5" customHeight="1" x14ac:dyDescent="0.25">
      <c r="A131" s="16"/>
      <c r="B131" s="19"/>
    </row>
    <row r="132" spans="1:2" ht="16.5" customHeight="1" x14ac:dyDescent="0.25">
      <c r="A132" s="16"/>
      <c r="B132" s="19"/>
    </row>
    <row r="133" spans="1:2" ht="16.5" customHeight="1" x14ac:dyDescent="0.25">
      <c r="A133" s="16"/>
      <c r="B133" s="19"/>
    </row>
    <row r="134" spans="1:2" ht="16.5" customHeight="1" x14ac:dyDescent="0.25">
      <c r="A134" s="16"/>
      <c r="B134" s="19"/>
    </row>
    <row r="135" spans="1:2" ht="16.5" customHeight="1" x14ac:dyDescent="0.25">
      <c r="A135" s="16"/>
      <c r="B135" s="19"/>
    </row>
    <row r="136" spans="1:2" ht="16.5" customHeight="1" x14ac:dyDescent="0.25">
      <c r="A136" s="16"/>
      <c r="B136" s="19"/>
    </row>
    <row r="137" spans="1:2" ht="16.5" customHeight="1" x14ac:dyDescent="0.25">
      <c r="A137" s="16"/>
      <c r="B137" s="19"/>
    </row>
    <row r="138" spans="1:2" ht="16.5" customHeight="1" x14ac:dyDescent="0.25">
      <c r="A138" s="16"/>
      <c r="B138" s="19"/>
    </row>
    <row r="139" spans="1:2" ht="16.5" customHeight="1" x14ac:dyDescent="0.25">
      <c r="A139" s="16"/>
      <c r="B139" s="19"/>
    </row>
    <row r="140" spans="1:2" ht="16.5" customHeight="1" x14ac:dyDescent="0.25">
      <c r="A140" s="16"/>
      <c r="B140" s="19"/>
    </row>
    <row r="141" spans="1:2" ht="16.5" customHeight="1" x14ac:dyDescent="0.25">
      <c r="A141" s="16"/>
      <c r="B141" s="19"/>
    </row>
    <row r="142" spans="1:2" ht="16.5" customHeight="1" x14ac:dyDescent="0.25">
      <c r="A142" s="16"/>
      <c r="B142" s="19"/>
    </row>
    <row r="143" spans="1:2" ht="16.5" customHeight="1" x14ac:dyDescent="0.25">
      <c r="A143" s="16"/>
      <c r="B143" s="19"/>
    </row>
    <row r="144" spans="1:2" ht="16.5" customHeight="1" x14ac:dyDescent="0.25">
      <c r="A144" s="16"/>
      <c r="B144" s="19"/>
    </row>
    <row r="145" spans="1:2" ht="16.5" customHeight="1" x14ac:dyDescent="0.25">
      <c r="A145" s="16"/>
      <c r="B145" s="19"/>
    </row>
    <row r="146" spans="1:2" ht="16.5" customHeight="1" x14ac:dyDescent="0.25">
      <c r="A146" s="16"/>
      <c r="B146" s="19"/>
    </row>
    <row r="147" spans="1:2" ht="16.5" customHeight="1" x14ac:dyDescent="0.25">
      <c r="A147" s="16"/>
      <c r="B147" s="19"/>
    </row>
    <row r="148" spans="1:2" ht="16.5" customHeight="1" x14ac:dyDescent="0.25">
      <c r="A148" s="16"/>
      <c r="B148" s="19"/>
    </row>
    <row r="149" spans="1:2" ht="16.5" customHeight="1" x14ac:dyDescent="0.25">
      <c r="A149" s="16"/>
      <c r="B149" s="19"/>
    </row>
    <row r="150" spans="1:2" ht="16.5" customHeight="1" x14ac:dyDescent="0.25">
      <c r="A150" s="16"/>
      <c r="B150" s="19"/>
    </row>
    <row r="151" spans="1:2" ht="16.5" customHeight="1" x14ac:dyDescent="0.25">
      <c r="A151" s="16"/>
      <c r="B151" s="19"/>
    </row>
    <row r="152" spans="1:2" ht="16.5" customHeight="1" x14ac:dyDescent="0.25">
      <c r="A152" s="16"/>
      <c r="B152" s="19"/>
    </row>
    <row r="153" spans="1:2" ht="16.5" customHeight="1" x14ac:dyDescent="0.25">
      <c r="A153" s="16"/>
      <c r="B153" s="19"/>
    </row>
    <row r="154" spans="1:2" ht="16.5" customHeight="1" x14ac:dyDescent="0.25">
      <c r="A154" s="16"/>
      <c r="B154" s="19"/>
    </row>
    <row r="155" spans="1:2" ht="16.5" customHeight="1" x14ac:dyDescent="0.25">
      <c r="A155" s="16"/>
      <c r="B155" s="19"/>
    </row>
    <row r="156" spans="1:2" ht="16.5" customHeight="1" x14ac:dyDescent="0.25">
      <c r="A156" s="16"/>
      <c r="B156" s="19"/>
    </row>
    <row r="157" spans="1:2" ht="16.5" customHeight="1" x14ac:dyDescent="0.25">
      <c r="A157" s="16"/>
      <c r="B157" s="19"/>
    </row>
    <row r="158" spans="1:2" ht="16.5" customHeight="1" x14ac:dyDescent="0.25">
      <c r="A158" s="16"/>
      <c r="B158" s="19"/>
    </row>
    <row r="159" spans="1:2" ht="16.5" customHeight="1" x14ac:dyDescent="0.25">
      <c r="A159" s="16"/>
      <c r="B159" s="19"/>
    </row>
    <row r="160" spans="1:2" ht="16.5" customHeight="1" x14ac:dyDescent="0.25">
      <c r="A160" s="16"/>
      <c r="B160" s="19"/>
    </row>
    <row r="161" spans="1:2" ht="16.5" customHeight="1" x14ac:dyDescent="0.25">
      <c r="A161" s="16"/>
      <c r="B161" s="19"/>
    </row>
    <row r="162" spans="1:2" ht="16.5" customHeight="1" x14ac:dyDescent="0.25">
      <c r="A162" s="16"/>
      <c r="B162" s="19"/>
    </row>
    <row r="163" spans="1:2" ht="16.5" customHeight="1" x14ac:dyDescent="0.25">
      <c r="A163" s="16"/>
      <c r="B163" s="19"/>
    </row>
    <row r="164" spans="1:2" ht="16.5" customHeight="1" x14ac:dyDescent="0.25">
      <c r="A164" s="16"/>
      <c r="B164" s="19"/>
    </row>
    <row r="165" spans="1:2" ht="16.5" customHeight="1" x14ac:dyDescent="0.25">
      <c r="A165" s="16"/>
      <c r="B165" s="19"/>
    </row>
    <row r="166" spans="1:2" ht="16.5" customHeight="1" x14ac:dyDescent="0.25">
      <c r="A166" s="16"/>
      <c r="B166" s="19"/>
    </row>
    <row r="167" spans="1:2" ht="16.5" customHeight="1" x14ac:dyDescent="0.25">
      <c r="A167" s="16"/>
      <c r="B167" s="19"/>
    </row>
    <row r="168" spans="1:2" ht="16.5" customHeight="1" x14ac:dyDescent="0.25">
      <c r="A168" s="16"/>
      <c r="B168" s="19"/>
    </row>
    <row r="169" spans="1:2" ht="16.5" customHeight="1" x14ac:dyDescent="0.25">
      <c r="A169" s="16"/>
      <c r="B169" s="19"/>
    </row>
    <row r="170" spans="1:2" ht="16.5" customHeight="1" x14ac:dyDescent="0.25">
      <c r="A170" s="16"/>
      <c r="B170" s="19"/>
    </row>
    <row r="171" spans="1:2" ht="16.5" customHeight="1" x14ac:dyDescent="0.25">
      <c r="A171" s="16"/>
      <c r="B171" s="19"/>
    </row>
    <row r="172" spans="1:2" ht="16.5" customHeight="1" x14ac:dyDescent="0.25">
      <c r="A172" s="16"/>
      <c r="B172" s="19"/>
    </row>
    <row r="173" spans="1:2" ht="16.5" customHeight="1" x14ac:dyDescent="0.25">
      <c r="A173" s="16"/>
      <c r="B173" s="19"/>
    </row>
    <row r="174" spans="1:2" ht="16.5" customHeight="1" x14ac:dyDescent="0.25">
      <c r="A174" s="16"/>
      <c r="B174" s="19"/>
    </row>
    <row r="175" spans="1:2" ht="16.5" customHeight="1" x14ac:dyDescent="0.25">
      <c r="A175" s="16"/>
      <c r="B175" s="19"/>
    </row>
    <row r="176" spans="1:2" ht="16.5" customHeight="1" x14ac:dyDescent="0.25">
      <c r="A176" s="16"/>
      <c r="B176" s="19"/>
    </row>
    <row r="177" spans="1:2" ht="16.5" customHeight="1" x14ac:dyDescent="0.25">
      <c r="A177" s="16"/>
      <c r="B177" s="19"/>
    </row>
    <row r="178" spans="1:2" ht="16.5" customHeight="1" x14ac:dyDescent="0.25">
      <c r="A178" s="16"/>
      <c r="B178" s="19"/>
    </row>
    <row r="179" spans="1:2" ht="16.5" customHeight="1" x14ac:dyDescent="0.25">
      <c r="A179" s="16"/>
      <c r="B179" s="19"/>
    </row>
    <row r="180" spans="1:2" ht="16.5" customHeight="1" x14ac:dyDescent="0.25">
      <c r="A180" s="16"/>
      <c r="B180" s="19"/>
    </row>
    <row r="181" spans="1:2" ht="16.5" customHeight="1" x14ac:dyDescent="0.25">
      <c r="A181" s="16"/>
      <c r="B181" s="19"/>
    </row>
    <row r="182" spans="1:2" ht="16.5" customHeight="1" x14ac:dyDescent="0.25">
      <c r="A182" s="16"/>
      <c r="B182" s="19"/>
    </row>
    <row r="183" spans="1:2" ht="16.5" customHeight="1" x14ac:dyDescent="0.25">
      <c r="A183" s="16"/>
      <c r="B183" s="19"/>
    </row>
    <row r="184" spans="1:2" ht="16.5" customHeight="1" x14ac:dyDescent="0.25">
      <c r="A184" s="16"/>
      <c r="B184" s="19"/>
    </row>
    <row r="185" spans="1:2" ht="16.5" customHeight="1" x14ac:dyDescent="0.25">
      <c r="A185" s="16"/>
      <c r="B185" s="19"/>
    </row>
    <row r="186" spans="1:2" ht="16.5" customHeight="1" x14ac:dyDescent="0.25">
      <c r="A186" s="16"/>
      <c r="B186" s="19"/>
    </row>
    <row r="187" spans="1:2" ht="16.5" customHeight="1" x14ac:dyDescent="0.25">
      <c r="A187" s="16"/>
      <c r="B187" s="19"/>
    </row>
    <row r="188" spans="1:2" ht="16.5" customHeight="1" x14ac:dyDescent="0.25">
      <c r="A188" s="16"/>
      <c r="B188" s="19"/>
    </row>
    <row r="189" spans="1:2" ht="16.5" customHeight="1" x14ac:dyDescent="0.25">
      <c r="A189" s="16"/>
      <c r="B189" s="19"/>
    </row>
    <row r="190" spans="1:2" ht="16.5" customHeight="1" x14ac:dyDescent="0.25">
      <c r="A190" s="16"/>
      <c r="B190" s="19"/>
    </row>
    <row r="191" spans="1:2" ht="16.5" customHeight="1" x14ac:dyDescent="0.25">
      <c r="A191" s="16"/>
      <c r="B191" s="19"/>
    </row>
    <row r="192" spans="1:2" ht="16.5" customHeight="1" x14ac:dyDescent="0.25">
      <c r="A192" s="16"/>
      <c r="B192" s="19"/>
    </row>
    <row r="193" spans="1:2" ht="16.5" customHeight="1" x14ac:dyDescent="0.25">
      <c r="A193" s="16"/>
      <c r="B193" s="19"/>
    </row>
    <row r="194" spans="1:2" ht="16.5" customHeight="1" x14ac:dyDescent="0.25">
      <c r="A194" s="16"/>
      <c r="B194" s="19"/>
    </row>
    <row r="195" spans="1:2" ht="16.5" customHeight="1" x14ac:dyDescent="0.25">
      <c r="A195" s="16"/>
      <c r="B195" s="19"/>
    </row>
    <row r="196" spans="1:2" ht="16.5" customHeight="1" x14ac:dyDescent="0.25">
      <c r="A196" s="16"/>
      <c r="B196" s="19"/>
    </row>
    <row r="197" spans="1:2" ht="16.5" customHeight="1" x14ac:dyDescent="0.25">
      <c r="A197" s="16"/>
      <c r="B197" s="19"/>
    </row>
    <row r="198" spans="1:2" ht="16.5" customHeight="1" x14ac:dyDescent="0.25">
      <c r="A198" s="16"/>
      <c r="B198" s="19"/>
    </row>
    <row r="199" spans="1:2" ht="16.5" customHeight="1" x14ac:dyDescent="0.25">
      <c r="A199" s="16"/>
      <c r="B199" s="19"/>
    </row>
    <row r="200" spans="1:2" ht="16.5" customHeight="1" x14ac:dyDescent="0.25">
      <c r="A200" s="16"/>
      <c r="B200" s="19"/>
    </row>
    <row r="201" spans="1:2" ht="16.5" customHeight="1" x14ac:dyDescent="0.25">
      <c r="A201" s="16"/>
      <c r="B201" s="19"/>
    </row>
    <row r="202" spans="1:2" ht="16.5" customHeight="1" x14ac:dyDescent="0.25">
      <c r="A202" s="16"/>
      <c r="B202" s="19"/>
    </row>
    <row r="203" spans="1:2" ht="16.5" customHeight="1" x14ac:dyDescent="0.25">
      <c r="A203" s="16"/>
      <c r="B203" s="19"/>
    </row>
    <row r="204" spans="1:2" ht="16.5" customHeight="1" x14ac:dyDescent="0.25">
      <c r="A204" s="16"/>
      <c r="B204" s="19"/>
    </row>
    <row r="205" spans="1:2" ht="16.5" customHeight="1" x14ac:dyDescent="0.25">
      <c r="A205" s="16"/>
      <c r="B205" s="19"/>
    </row>
    <row r="206" spans="1:2" ht="16.5" customHeight="1" x14ac:dyDescent="0.25">
      <c r="A206" s="16"/>
      <c r="B206" s="19"/>
    </row>
    <row r="207" spans="1:2" ht="16.5" customHeight="1" x14ac:dyDescent="0.25">
      <c r="A207" s="16"/>
      <c r="B207" s="19"/>
    </row>
    <row r="208" spans="1:2" ht="16.5" customHeight="1" x14ac:dyDescent="0.25">
      <c r="A208" s="16"/>
      <c r="B208" s="19"/>
    </row>
    <row r="209" spans="1:2" ht="16.5" customHeight="1" x14ac:dyDescent="0.25">
      <c r="A209" s="16"/>
      <c r="B209" s="19"/>
    </row>
    <row r="210" spans="1:2" ht="16.5" customHeight="1" x14ac:dyDescent="0.25">
      <c r="A210" s="16"/>
      <c r="B210" s="19"/>
    </row>
    <row r="211" spans="1:2" ht="16.5" customHeight="1" x14ac:dyDescent="0.25">
      <c r="A211" s="16"/>
      <c r="B211" s="19"/>
    </row>
    <row r="212" spans="1:2" ht="16.5" customHeight="1" x14ac:dyDescent="0.25">
      <c r="A212" s="16"/>
      <c r="B212" s="19"/>
    </row>
    <row r="213" spans="1:2" ht="16.5" customHeight="1" x14ac:dyDescent="0.25">
      <c r="A213" s="16"/>
      <c r="B213" s="19"/>
    </row>
    <row r="214" spans="1:2" ht="16.5" customHeight="1" x14ac:dyDescent="0.25">
      <c r="A214" s="16"/>
      <c r="B214" s="19"/>
    </row>
    <row r="215" spans="1:2" ht="16.5" customHeight="1" x14ac:dyDescent="0.25">
      <c r="A215" s="16"/>
      <c r="B215" s="19"/>
    </row>
    <row r="216" spans="1:2" ht="16.5" customHeight="1" x14ac:dyDescent="0.25">
      <c r="A216" s="16"/>
      <c r="B216" s="19"/>
    </row>
    <row r="217" spans="1:2" ht="16.5" customHeight="1" x14ac:dyDescent="0.25">
      <c r="A217" s="16"/>
      <c r="B217" s="19"/>
    </row>
    <row r="218" spans="1:2" ht="16.5" customHeight="1" x14ac:dyDescent="0.25">
      <c r="A218" s="16"/>
      <c r="B218" s="19"/>
    </row>
    <row r="219" spans="1:2" ht="16.5" customHeight="1" x14ac:dyDescent="0.25">
      <c r="A219" s="16"/>
      <c r="B219" s="19"/>
    </row>
    <row r="220" spans="1:2" ht="16.5" customHeight="1" x14ac:dyDescent="0.25">
      <c r="A220" s="16"/>
      <c r="B220" s="19"/>
    </row>
    <row r="221" spans="1:2" ht="16.5" customHeight="1" x14ac:dyDescent="0.25">
      <c r="A221" s="16"/>
      <c r="B221" s="19"/>
    </row>
    <row r="222" spans="1:2" ht="16.5" customHeight="1" x14ac:dyDescent="0.25">
      <c r="A222" s="16"/>
      <c r="B222" s="19"/>
    </row>
    <row r="223" spans="1:2" ht="16.5" customHeight="1" x14ac:dyDescent="0.25">
      <c r="A223" s="16"/>
      <c r="B223" s="19"/>
    </row>
    <row r="224" spans="1:2" ht="16.5" customHeight="1" x14ac:dyDescent="0.25">
      <c r="A224" s="16"/>
      <c r="B224" s="19"/>
    </row>
    <row r="225" spans="1:2" ht="16.5" customHeight="1" x14ac:dyDescent="0.25">
      <c r="A225" s="16"/>
      <c r="B225" s="19"/>
    </row>
    <row r="226" spans="1:2" ht="16.5" customHeight="1" x14ac:dyDescent="0.25">
      <c r="A226" s="16"/>
      <c r="B226" s="19"/>
    </row>
    <row r="227" spans="1:2" ht="16.5" customHeight="1" x14ac:dyDescent="0.25">
      <c r="A227" s="16"/>
      <c r="B227" s="19"/>
    </row>
    <row r="228" spans="1:2" ht="16.5" customHeight="1" x14ac:dyDescent="0.25">
      <c r="A228" s="16"/>
      <c r="B228" s="19"/>
    </row>
    <row r="229" spans="1:2" ht="16.5" customHeight="1" x14ac:dyDescent="0.25">
      <c r="A229" s="16"/>
      <c r="B229" s="19"/>
    </row>
    <row r="230" spans="1:2" ht="16.5" customHeight="1" x14ac:dyDescent="0.25">
      <c r="A230" s="16"/>
      <c r="B230" s="19"/>
    </row>
    <row r="231" spans="1:2" ht="16.5" customHeight="1" x14ac:dyDescent="0.25">
      <c r="A231" s="16"/>
      <c r="B231" s="19"/>
    </row>
    <row r="232" spans="1:2" ht="16.5" customHeight="1" x14ac:dyDescent="0.25">
      <c r="A232" s="16"/>
      <c r="B232" s="19"/>
    </row>
    <row r="233" spans="1:2" ht="16.5" customHeight="1" x14ac:dyDescent="0.25">
      <c r="A233" s="16"/>
      <c r="B233" s="19"/>
    </row>
    <row r="234" spans="1:2" ht="16.5" customHeight="1" x14ac:dyDescent="0.25">
      <c r="A234" s="16"/>
      <c r="B234" s="19"/>
    </row>
    <row r="235" spans="1:2" ht="16.5" customHeight="1" x14ac:dyDescent="0.25">
      <c r="A235" s="16"/>
      <c r="B235" s="19"/>
    </row>
    <row r="236" spans="1:2" ht="16.5" customHeight="1" x14ac:dyDescent="0.25">
      <c r="A236" s="16"/>
      <c r="B236" s="19"/>
    </row>
    <row r="237" spans="1:2" ht="16.5" customHeight="1" x14ac:dyDescent="0.25">
      <c r="A237" s="16"/>
      <c r="B237" s="19"/>
    </row>
    <row r="238" spans="1:2" ht="16.5" customHeight="1" x14ac:dyDescent="0.25">
      <c r="A238" s="16"/>
      <c r="B238" s="19"/>
    </row>
    <row r="239" spans="1:2" ht="16.5" customHeight="1" x14ac:dyDescent="0.25">
      <c r="A239" s="16"/>
      <c r="B239" s="19"/>
    </row>
    <row r="240" spans="1:2" ht="16.5" customHeight="1" x14ac:dyDescent="0.25">
      <c r="A240" s="16"/>
      <c r="B240" s="19"/>
    </row>
    <row r="241" spans="1:2" ht="16.5" customHeight="1" x14ac:dyDescent="0.25">
      <c r="A241" s="16"/>
      <c r="B241" s="19"/>
    </row>
    <row r="242" spans="1:2" ht="16.5" customHeight="1" x14ac:dyDescent="0.25">
      <c r="A242" s="16"/>
      <c r="B242" s="19"/>
    </row>
    <row r="243" spans="1:2" ht="16.5" customHeight="1" x14ac:dyDescent="0.25">
      <c r="A243" s="16"/>
      <c r="B243" s="19"/>
    </row>
    <row r="244" spans="1:2" ht="16.5" customHeight="1" x14ac:dyDescent="0.25">
      <c r="A244" s="16"/>
      <c r="B244" s="19"/>
    </row>
    <row r="245" spans="1:2" ht="16.5" customHeight="1" x14ac:dyDescent="0.25">
      <c r="A245" s="16"/>
      <c r="B245" s="19"/>
    </row>
    <row r="246" spans="1:2" ht="16.5" customHeight="1" x14ac:dyDescent="0.25">
      <c r="A246" s="16"/>
      <c r="B246" s="19"/>
    </row>
    <row r="247" spans="1:2" ht="16.5" customHeight="1" x14ac:dyDescent="0.25">
      <c r="A247" s="16"/>
      <c r="B247" s="19"/>
    </row>
    <row r="248" spans="1:2" ht="16.5" customHeight="1" x14ac:dyDescent="0.25">
      <c r="A248" s="16"/>
      <c r="B248" s="19"/>
    </row>
    <row r="249" spans="1:2" ht="16.5" customHeight="1" x14ac:dyDescent="0.25">
      <c r="A249" s="16"/>
      <c r="B249" s="19"/>
    </row>
    <row r="250" spans="1:2" ht="16.5" customHeight="1" x14ac:dyDescent="0.25">
      <c r="A250" s="16"/>
      <c r="B250" s="19"/>
    </row>
    <row r="251" spans="1:2" ht="16.5" customHeight="1" x14ac:dyDescent="0.25">
      <c r="A251" s="16"/>
      <c r="B251" s="19"/>
    </row>
    <row r="252" spans="1:2" ht="16.5" customHeight="1" x14ac:dyDescent="0.25">
      <c r="A252" s="16"/>
      <c r="B252" s="19"/>
    </row>
    <row r="253" spans="1:2" ht="16.5" customHeight="1" x14ac:dyDescent="0.25">
      <c r="A253" s="16"/>
      <c r="B253" s="19"/>
    </row>
    <row r="254" spans="1:2" ht="16.5" customHeight="1" x14ac:dyDescent="0.25">
      <c r="A254" s="16"/>
      <c r="B254" s="19"/>
    </row>
    <row r="255" spans="1:2" ht="16.5" customHeight="1" x14ac:dyDescent="0.25">
      <c r="A255" s="16"/>
      <c r="B255" s="19"/>
    </row>
    <row r="256" spans="1:2" ht="16.5" customHeight="1" x14ac:dyDescent="0.25">
      <c r="A256" s="16"/>
      <c r="B256" s="19"/>
    </row>
    <row r="257" spans="1:2" ht="16.5" customHeight="1" x14ac:dyDescent="0.25">
      <c r="A257" s="16"/>
      <c r="B257" s="19"/>
    </row>
    <row r="258" spans="1:2" ht="16.5" customHeight="1" x14ac:dyDescent="0.25">
      <c r="A258" s="16"/>
      <c r="B258" s="19"/>
    </row>
    <row r="259" spans="1:2" ht="16.5" customHeight="1" x14ac:dyDescent="0.25">
      <c r="A259" s="16"/>
      <c r="B259" s="19"/>
    </row>
    <row r="260" spans="1:2" ht="16.5" customHeight="1" x14ac:dyDescent="0.25">
      <c r="A260" s="16"/>
      <c r="B260" s="19"/>
    </row>
    <row r="261" spans="1:2" ht="16.5" customHeight="1" x14ac:dyDescent="0.25">
      <c r="A261" s="16"/>
      <c r="B261" s="19"/>
    </row>
    <row r="262" spans="1:2" ht="16.5" customHeight="1" x14ac:dyDescent="0.25">
      <c r="A262" s="16"/>
      <c r="B262" s="19"/>
    </row>
    <row r="263" spans="1:2" ht="16.5" customHeight="1" x14ac:dyDescent="0.25">
      <c r="A263" s="16"/>
      <c r="B263" s="19"/>
    </row>
    <row r="264" spans="1:2" ht="16.5" customHeight="1" x14ac:dyDescent="0.25">
      <c r="A264" s="16"/>
      <c r="B264" s="19"/>
    </row>
    <row r="265" spans="1:2" ht="16.5" customHeight="1" x14ac:dyDescent="0.25">
      <c r="A265" s="16"/>
      <c r="B265" s="19"/>
    </row>
    <row r="266" spans="1:2" ht="16.5" customHeight="1" x14ac:dyDescent="0.25">
      <c r="A266" s="16"/>
      <c r="B266" s="19"/>
    </row>
    <row r="267" spans="1:2" ht="16.5" customHeight="1" x14ac:dyDescent="0.25">
      <c r="A267" s="16"/>
      <c r="B267" s="19"/>
    </row>
    <row r="268" spans="1:2" ht="16.5" customHeight="1" x14ac:dyDescent="0.25">
      <c r="A268" s="16"/>
      <c r="B268" s="19"/>
    </row>
    <row r="269" spans="1:2" ht="16.5" customHeight="1" x14ac:dyDescent="0.25">
      <c r="A269" s="16"/>
      <c r="B269" s="19"/>
    </row>
    <row r="270" spans="1:2" ht="16.5" customHeight="1" x14ac:dyDescent="0.25">
      <c r="A270" s="16"/>
      <c r="B270" s="19"/>
    </row>
    <row r="271" spans="1:2" ht="16.5" customHeight="1" x14ac:dyDescent="0.25">
      <c r="A271" s="16"/>
      <c r="B271" s="19"/>
    </row>
    <row r="272" spans="1:2" ht="16.5" customHeight="1" x14ac:dyDescent="0.25">
      <c r="A272" s="16"/>
      <c r="B272" s="19"/>
    </row>
    <row r="273" spans="1:2" ht="16.5" customHeight="1" x14ac:dyDescent="0.25">
      <c r="A273" s="16"/>
      <c r="B273" s="19"/>
    </row>
    <row r="274" spans="1:2" ht="16.5" customHeight="1" x14ac:dyDescent="0.25">
      <c r="A274" s="16"/>
      <c r="B274" s="19"/>
    </row>
    <row r="275" spans="1:2" ht="16.5" customHeight="1" x14ac:dyDescent="0.25">
      <c r="A275" s="16"/>
      <c r="B275" s="19"/>
    </row>
    <row r="276" spans="1:2" ht="16.5" customHeight="1" x14ac:dyDescent="0.25">
      <c r="A276" s="16"/>
      <c r="B276" s="19"/>
    </row>
    <row r="277" spans="1:2" ht="16.5" customHeight="1" x14ac:dyDescent="0.25">
      <c r="A277" s="16"/>
      <c r="B277" s="19"/>
    </row>
    <row r="278" spans="1:2" ht="16.5" customHeight="1" x14ac:dyDescent="0.25">
      <c r="A278" s="16"/>
      <c r="B278" s="19"/>
    </row>
    <row r="279" spans="1:2" ht="16.5" customHeight="1" x14ac:dyDescent="0.25">
      <c r="A279" s="16"/>
      <c r="B279" s="19"/>
    </row>
    <row r="280" spans="1:2" ht="16.5" customHeight="1" x14ac:dyDescent="0.25">
      <c r="A280" s="16"/>
      <c r="B280" s="19"/>
    </row>
    <row r="281" spans="1:2" ht="16.5" customHeight="1" x14ac:dyDescent="0.25">
      <c r="A281" s="16"/>
      <c r="B281" s="19"/>
    </row>
    <row r="282" spans="1:2" ht="16.5" customHeight="1" x14ac:dyDescent="0.25">
      <c r="A282" s="16"/>
      <c r="B282" s="19"/>
    </row>
    <row r="283" spans="1:2" ht="16.5" customHeight="1" x14ac:dyDescent="0.25">
      <c r="A283" s="16"/>
      <c r="B283" s="19"/>
    </row>
    <row r="284" spans="1:2" ht="16.5" customHeight="1" x14ac:dyDescent="0.25">
      <c r="A284" s="16"/>
      <c r="B284" s="19"/>
    </row>
    <row r="285" spans="1:2" ht="16.5" customHeight="1" x14ac:dyDescent="0.25">
      <c r="A285" s="16"/>
      <c r="B285" s="19"/>
    </row>
    <row r="286" spans="1:2" ht="16.5" customHeight="1" x14ac:dyDescent="0.25">
      <c r="A286" s="16"/>
      <c r="B286" s="19"/>
    </row>
    <row r="287" spans="1:2" ht="16.5" customHeight="1" x14ac:dyDescent="0.25">
      <c r="A287" s="16"/>
      <c r="B287" s="19"/>
    </row>
    <row r="288" spans="1:2" ht="16.5" customHeight="1" x14ac:dyDescent="0.25">
      <c r="A288" s="16"/>
      <c r="B288" s="19"/>
    </row>
    <row r="289" spans="1:2" ht="16.5" customHeight="1" x14ac:dyDescent="0.25">
      <c r="A289" s="16"/>
      <c r="B289" s="19"/>
    </row>
    <row r="290" spans="1:2" ht="16.5" customHeight="1" x14ac:dyDescent="0.25">
      <c r="A290" s="16"/>
      <c r="B290" s="19"/>
    </row>
    <row r="291" spans="1:2" ht="16.5" customHeight="1" x14ac:dyDescent="0.25">
      <c r="A291" s="16"/>
      <c r="B291" s="19"/>
    </row>
    <row r="292" spans="1:2" ht="16.5" customHeight="1" x14ac:dyDescent="0.25">
      <c r="A292" s="16"/>
      <c r="B292" s="19"/>
    </row>
    <row r="293" spans="1:2" ht="16.5" customHeight="1" x14ac:dyDescent="0.25">
      <c r="A293" s="16"/>
      <c r="B293" s="19"/>
    </row>
    <row r="294" spans="1:2" ht="16.5" customHeight="1" x14ac:dyDescent="0.25">
      <c r="A294" s="16"/>
      <c r="B294" s="19"/>
    </row>
    <row r="295" spans="1:2" ht="16.5" customHeight="1" x14ac:dyDescent="0.25">
      <c r="A295" s="16"/>
      <c r="B295" s="19"/>
    </row>
    <row r="296" spans="1:2" ht="16.5" customHeight="1" x14ac:dyDescent="0.25">
      <c r="A296" s="16"/>
      <c r="B296" s="19"/>
    </row>
    <row r="297" spans="1:2" ht="16.5" customHeight="1" x14ac:dyDescent="0.25">
      <c r="A297" s="16"/>
      <c r="B297" s="19"/>
    </row>
    <row r="298" spans="1:2" ht="16.5" customHeight="1" x14ac:dyDescent="0.25">
      <c r="A298" s="16"/>
      <c r="B298" s="19"/>
    </row>
    <row r="299" spans="1:2" ht="16.5" customHeight="1" x14ac:dyDescent="0.25">
      <c r="A299" s="16"/>
      <c r="B299" s="19"/>
    </row>
    <row r="300" spans="1:2" ht="16.5" customHeight="1" x14ac:dyDescent="0.25">
      <c r="A300" s="16"/>
      <c r="B300" s="19"/>
    </row>
    <row r="301" spans="1:2" ht="16.5" customHeight="1" x14ac:dyDescent="0.25">
      <c r="A301" s="16"/>
      <c r="B301" s="19"/>
    </row>
    <row r="302" spans="1:2" ht="16.5" customHeight="1" x14ac:dyDescent="0.25">
      <c r="A302" s="16"/>
      <c r="B302" s="19"/>
    </row>
    <row r="303" spans="1:2" ht="16.5" customHeight="1" x14ac:dyDescent="0.25">
      <c r="A303" s="16"/>
      <c r="B303" s="19"/>
    </row>
    <row r="304" spans="1:2" ht="16.5" customHeight="1" x14ac:dyDescent="0.25">
      <c r="A304" s="16"/>
      <c r="B304" s="19"/>
    </row>
    <row r="305" spans="1:2" ht="16.5" customHeight="1" x14ac:dyDescent="0.25">
      <c r="A305" s="16"/>
      <c r="B305" s="19"/>
    </row>
    <row r="306" spans="1:2" ht="16.5" customHeight="1" x14ac:dyDescent="0.25">
      <c r="A306" s="16"/>
      <c r="B306" s="19"/>
    </row>
    <row r="307" spans="1:2" ht="16.5" customHeight="1" x14ac:dyDescent="0.25">
      <c r="A307" s="16"/>
      <c r="B307" s="19"/>
    </row>
    <row r="308" spans="1:2" ht="16.5" customHeight="1" x14ac:dyDescent="0.25">
      <c r="A308" s="16"/>
      <c r="B308" s="19"/>
    </row>
    <row r="309" spans="1:2" ht="16.5" customHeight="1" x14ac:dyDescent="0.25">
      <c r="A309" s="16"/>
      <c r="B309" s="19"/>
    </row>
    <row r="310" spans="1:2" ht="16.5" customHeight="1" x14ac:dyDescent="0.25">
      <c r="A310" s="16"/>
      <c r="B310" s="19"/>
    </row>
    <row r="311" spans="1:2" ht="16.5" customHeight="1" x14ac:dyDescent="0.25">
      <c r="A311" s="16"/>
      <c r="B311" s="19"/>
    </row>
    <row r="312" spans="1:2" ht="16.5" customHeight="1" x14ac:dyDescent="0.25">
      <c r="A312" s="16"/>
      <c r="B312" s="19"/>
    </row>
    <row r="313" spans="1:2" ht="16.5" customHeight="1" x14ac:dyDescent="0.25">
      <c r="A313" s="16"/>
      <c r="B313" s="19"/>
    </row>
    <row r="314" spans="1:2" ht="16.5" customHeight="1" x14ac:dyDescent="0.25">
      <c r="A314" s="16"/>
      <c r="B314" s="19"/>
    </row>
    <row r="315" spans="1:2" ht="16.5" customHeight="1" x14ac:dyDescent="0.25">
      <c r="A315" s="16"/>
      <c r="B315" s="19"/>
    </row>
    <row r="316" spans="1:2" ht="16.5" customHeight="1" x14ac:dyDescent="0.25">
      <c r="A316" s="16"/>
      <c r="B316" s="19"/>
    </row>
    <row r="317" spans="1:2" ht="16.5" customHeight="1" x14ac:dyDescent="0.25">
      <c r="A317" s="16"/>
      <c r="B317" s="19"/>
    </row>
    <row r="318" spans="1:2" ht="16.5" customHeight="1" x14ac:dyDescent="0.25">
      <c r="A318" s="16"/>
      <c r="B318" s="19"/>
    </row>
    <row r="319" spans="1:2" ht="16.5" customHeight="1" x14ac:dyDescent="0.25">
      <c r="A319" s="16"/>
      <c r="B319" s="19"/>
    </row>
    <row r="320" spans="1:2" ht="16.5" customHeight="1" x14ac:dyDescent="0.25">
      <c r="A320" s="16"/>
      <c r="B320" s="19"/>
    </row>
    <row r="321" spans="1:2" ht="16.5" customHeight="1" x14ac:dyDescent="0.25">
      <c r="A321" s="16"/>
      <c r="B321" s="19"/>
    </row>
    <row r="322" spans="1:2" ht="16.5" customHeight="1" x14ac:dyDescent="0.25">
      <c r="A322" s="16"/>
      <c r="B322" s="19"/>
    </row>
    <row r="323" spans="1:2" ht="16.5" customHeight="1" x14ac:dyDescent="0.25">
      <c r="A323" s="16"/>
      <c r="B323" s="19"/>
    </row>
    <row r="324" spans="1:2" ht="16.5" customHeight="1" x14ac:dyDescent="0.25">
      <c r="A324" s="16"/>
      <c r="B324" s="19"/>
    </row>
    <row r="325" spans="1:2" ht="16.5" customHeight="1" x14ac:dyDescent="0.25">
      <c r="A325" s="16"/>
      <c r="B325" s="19"/>
    </row>
    <row r="326" spans="1:2" ht="16.5" customHeight="1" x14ac:dyDescent="0.25">
      <c r="A326" s="16"/>
      <c r="B326" s="19"/>
    </row>
    <row r="327" spans="1:2" ht="16.5" customHeight="1" x14ac:dyDescent="0.25">
      <c r="A327" s="16"/>
      <c r="B327" s="19"/>
    </row>
    <row r="328" spans="1:2" ht="16.5" customHeight="1" x14ac:dyDescent="0.25">
      <c r="A328" s="16"/>
      <c r="B328" s="19"/>
    </row>
    <row r="329" spans="1:2" ht="16.5" customHeight="1" x14ac:dyDescent="0.25">
      <c r="A329" s="16"/>
      <c r="B329" s="19"/>
    </row>
    <row r="330" spans="1:2" ht="16.5" customHeight="1" x14ac:dyDescent="0.25">
      <c r="A330" s="16"/>
      <c r="B330" s="19"/>
    </row>
  </sheetData>
  <sheetProtection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2201-2915-4417-B796-86CB6BEF3116}">
  <sheetPr codeName="sh05"/>
  <dimension ref="A1:V8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4.5703125" hidden="1" customWidth="1"/>
    <col min="2" max="2" width="7.28515625" hidden="1" customWidth="1"/>
    <col min="3" max="3" width="3.28515625" customWidth="1"/>
    <col min="4" max="6" width="4" customWidth="1"/>
    <col min="7" max="7" width="8.5703125" hidden="1" customWidth="1"/>
    <col min="8" max="8" width="15" hidden="1" customWidth="1"/>
    <col min="9" max="9" width="13.42578125" hidden="1" customWidth="1"/>
    <col min="10" max="10" width="44" customWidth="1"/>
    <col min="11" max="11" width="20.85546875" bestFit="1" customWidth="1"/>
    <col min="12" max="13" width="56.7109375" customWidth="1"/>
    <col min="14" max="14" width="11" hidden="1" customWidth="1"/>
    <col min="15" max="15" width="35.7109375" customWidth="1"/>
    <col min="16" max="16" width="30.28515625" customWidth="1"/>
    <col min="17" max="17" width="17.140625" customWidth="1"/>
    <col min="18" max="18" width="15.140625" customWidth="1"/>
    <col min="19" max="20" width="17.7109375" customWidth="1"/>
    <col min="21" max="21" width="19.140625" bestFit="1" customWidth="1"/>
    <col min="22" max="22" width="14.85546875" customWidth="1"/>
    <col min="23" max="16384" width="1.7109375" hidden="1"/>
  </cols>
  <sheetData>
    <row r="1" spans="1:22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L1" s="29" t="str">
        <f>IF($B$7&gt;0,"Data not saved","")</f>
        <v/>
      </c>
      <c r="M1" s="29"/>
      <c r="O1" s="29"/>
    </row>
    <row r="2" spans="1:22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2" ht="5.25" customHeight="1" x14ac:dyDescent="0.25">
      <c r="A3" s="15" t="s">
        <v>23</v>
      </c>
      <c r="B3" s="17">
        <v>5</v>
      </c>
      <c r="C3" s="9"/>
    </row>
    <row r="4" spans="1:22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36</v>
      </c>
      <c r="I4" s="25" t="s">
        <v>18</v>
      </c>
      <c r="J4" s="25" t="s">
        <v>19</v>
      </c>
      <c r="K4" s="25" t="s">
        <v>66</v>
      </c>
      <c r="L4" s="25" t="s">
        <v>38</v>
      </c>
      <c r="M4" s="25" t="s">
        <v>68</v>
      </c>
      <c r="N4" s="25" t="s">
        <v>11</v>
      </c>
      <c r="O4" s="25" t="s">
        <v>12</v>
      </c>
      <c r="P4" s="25" t="s">
        <v>13</v>
      </c>
      <c r="Q4" s="25" t="s">
        <v>69</v>
      </c>
      <c r="R4" s="25" t="s">
        <v>8</v>
      </c>
      <c r="S4" s="25" t="s">
        <v>6</v>
      </c>
      <c r="T4" s="25" t="s">
        <v>5</v>
      </c>
      <c r="U4" s="25" t="s">
        <v>7</v>
      </c>
    </row>
    <row r="5" spans="1:22" ht="16.5" customHeight="1" x14ac:dyDescent="0.25">
      <c r="A5" s="15" t="s">
        <v>39</v>
      </c>
      <c r="B5" s="17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</row>
    <row r="6" spans="1:22" ht="16.5" customHeight="1" x14ac:dyDescent="0.25">
      <c r="A6" s="15" t="s">
        <v>22</v>
      </c>
    </row>
    <row r="7" spans="1:22" ht="16.5" customHeight="1" x14ac:dyDescent="0.25">
      <c r="A7" s="15" t="s">
        <v>25</v>
      </c>
      <c r="B7" s="18">
        <f>COUNTIFS(tblSteps[ACTION],"A")+COUNTIFS(tblSteps[ACTION],"M")</f>
        <v>0</v>
      </c>
    </row>
    <row r="8" spans="1:22" ht="16.5" customHeight="1" x14ac:dyDescent="0.25">
      <c r="A8" s="15" t="s">
        <v>40</v>
      </c>
      <c r="B8" s="18" t="s">
        <v>104</v>
      </c>
    </row>
  </sheetData>
  <sheetProtection algorithmName="SHA-512" hashValue="v5ncZkcZR7VhhYyxlJt8FlMWR8R3O34YFbpzVWTwS07Xo1mk+liV3ykbz8RHf7QYc2tQgDbig1LPyaMPDctVHg==" saltValue="YTJMtv+Q8QyvCWU8vnzEIg==" spinCount="100000" sheet="1" objects="1" scenarios="1" autoFilter="0"/>
  <dataConsolidate/>
  <dataValidations count="3">
    <dataValidation type="list" allowBlank="1" showInputMessage="1" showErrorMessage="1" errorTitle="Invalid value" error="Please select value from the list" promptTitle="Select a value" prompt="Please select value from the list" sqref="Q5" xr:uid="{DE3F45FF-8A49-4386-98A9-72A206E5957C}">
      <formula1>"button,textbox,text,dropdown,url,table,combobox"</formula1>
    </dataValidation>
    <dataValidation type="list" allowBlank="1" showInputMessage="1" showErrorMessage="1" errorTitle="Invalid value" error="Please select value from the list" promptTitle="Select a value" prompt="Please select value from the list" sqref="R5" xr:uid="{67CCF99B-3872-4ED8-AC71-40F768265A24}">
      <formula1>"input,verify,retrieve,api"</formula1>
    </dataValidation>
    <dataValidation type="list" allowBlank="1" showInputMessage="1" showErrorMessage="1" errorTitle="Invalid value" error="Please select value from the list" promptTitle="Select a value" prompt="Please select value from the list" sqref="S5 T5 U5" xr:uid="{CFFAD922-2F71-4275-861A-8219411D08EE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boSteps">
          <controlPr autoLine="0" r:id="rId5">
            <anchor moveWithCells="1">
              <from>
                <xdr:col>15</xdr:col>
                <xdr:colOff>0</xdr:colOff>
                <xdr:row>0</xdr:row>
                <xdr:rowOff>9525</xdr:rowOff>
              </from>
              <to>
                <xdr:col>16</xdr:col>
                <xdr:colOff>0</xdr:colOff>
                <xdr:row>0</xdr:row>
                <xdr:rowOff>228600</xdr:rowOff>
              </to>
            </anchor>
          </controlPr>
        </control>
      </mc:Choice>
      <mc:Fallback>
        <control shapeId="6145" r:id="rId4" name="cboStep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D48B5-EA71-4DDA-B82E-807EF48FBA12}">
  <sheetPr codeName="sh06"/>
  <dimension ref="A1:V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hidden="1" customWidth="1"/>
    <col min="9" max="9" width="20.7109375" customWidth="1"/>
    <col min="10" max="10" width="13.5703125" hidden="1" customWidth="1"/>
    <col min="11" max="11" width="31.28515625" customWidth="1"/>
    <col min="12" max="12" width="12.7109375" customWidth="1"/>
    <col min="13" max="13" width="17.85546875" customWidth="1"/>
    <col min="14" max="14" width="68.140625" customWidth="1"/>
    <col min="15" max="15" width="19.85546875" hidden="1" customWidth="1"/>
    <col min="16" max="16" width="11.42578125" hidden="1" customWidth="1"/>
    <col min="17" max="17" width="20.7109375" hidden="1" customWidth="1"/>
    <col min="18" max="18" width="24.42578125" customWidth="1"/>
    <col min="19" max="19" width="67.85546875" hidden="1" customWidth="1"/>
    <col min="20" max="20" width="107.140625" customWidth="1"/>
    <col min="21" max="21" width="32.7109375" hidden="1" customWidth="1"/>
    <col min="22" max="22" width="15.140625" customWidth="1"/>
    <col min="23" max="16384" width="1.7109375" hidden="1"/>
  </cols>
  <sheetData>
    <row r="1" spans="1:21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N1" s="29" t="str">
        <f>IF($B$7&gt;0,"Data not saved","")</f>
        <v/>
      </c>
    </row>
    <row r="2" spans="1:21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1" ht="5.25" customHeight="1" x14ac:dyDescent="0.25">
      <c r="A3" s="15" t="s">
        <v>23</v>
      </c>
      <c r="B3" s="17">
        <v>4</v>
      </c>
      <c r="C3" s="9"/>
    </row>
    <row r="4" spans="1:21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44</v>
      </c>
      <c r="I4" s="25" t="s">
        <v>31</v>
      </c>
      <c r="J4" s="25" t="s">
        <v>28</v>
      </c>
      <c r="K4" s="25" t="s">
        <v>29</v>
      </c>
      <c r="L4" s="25" t="s">
        <v>37</v>
      </c>
      <c r="M4" s="25" t="s">
        <v>9</v>
      </c>
      <c r="N4" s="25" t="s">
        <v>45</v>
      </c>
      <c r="O4" s="25" t="s">
        <v>46</v>
      </c>
      <c r="P4" s="25" t="s">
        <v>47</v>
      </c>
      <c r="Q4" s="25" t="s">
        <v>48</v>
      </c>
      <c r="R4" s="25" t="s">
        <v>49</v>
      </c>
      <c r="S4" s="25" t="s">
        <v>50</v>
      </c>
      <c r="T4" s="25" t="s">
        <v>51</v>
      </c>
      <c r="U4" s="25" t="s">
        <v>52</v>
      </c>
    </row>
    <row r="5" spans="1:21" ht="16.5" customHeight="1" x14ac:dyDescent="0.25">
      <c r="A5" s="30" t="s">
        <v>35</v>
      </c>
      <c r="B5" s="31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</row>
    <row r="6" spans="1:21" ht="16.5" customHeight="1" x14ac:dyDescent="0.25">
      <c r="A6" s="30" t="s">
        <v>22</v>
      </c>
    </row>
    <row r="7" spans="1:21" ht="16.5" customHeight="1" x14ac:dyDescent="0.25">
      <c r="A7" s="30" t="s">
        <v>25</v>
      </c>
      <c r="B7" s="32">
        <f>COUNTIFS(tblAPI[ACTION],"A")+COUNTIFS(tblAPI[ACTION],"M")</f>
        <v>0</v>
      </c>
    </row>
    <row r="9" spans="1:21" ht="15" x14ac:dyDescent="0.25"/>
  </sheetData>
  <sheetProtection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51A29046-D141-4F85-A865-2599981F92AA}">
      <formula1>"GET,POST,PUT"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boAPI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11</xdr:col>
                <xdr:colOff>95250</xdr:colOff>
                <xdr:row>0</xdr:row>
                <xdr:rowOff>304800</xdr:rowOff>
              </to>
            </anchor>
          </controlPr>
        </control>
      </mc:Choice>
      <mc:Fallback>
        <control shapeId="10241" r:id="rId4" name="cboAPI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24BD5-02AB-4BAB-8D6D-339262D08C65}">
  <sheetPr codeName="sh04"/>
  <dimension ref="A1:X20"/>
  <sheetViews>
    <sheetView showGridLines="0" topLeftCell="B1" zoomScale="90" zoomScaleNormal="9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.140625" hidden="1" customWidth="1"/>
    <col min="2" max="2" width="3.140625" hidden="1" customWidth="1"/>
    <col min="3" max="3" width="3.28515625" customWidth="1"/>
    <col min="4" max="6" width="4" customWidth="1"/>
    <col min="7" max="7" width="12.42578125" hidden="1" customWidth="1"/>
    <col min="8" max="8" width="12.7109375" hidden="1" customWidth="1"/>
    <col min="9" max="9" width="20.7109375" customWidth="1"/>
    <col min="10" max="10" width="36" customWidth="1"/>
    <col min="11" max="11" width="13.5703125" customWidth="1"/>
    <col min="12" max="12" width="40.7109375" customWidth="1"/>
    <col min="13" max="13" width="21.140625" bestFit="1" customWidth="1"/>
    <col min="14" max="14" width="15.140625" hidden="1" customWidth="1"/>
    <col min="15" max="15" width="25.140625" hidden="1" customWidth="1"/>
    <col min="16" max="16" width="15.7109375" customWidth="1"/>
    <col min="17" max="17" width="17.85546875" hidden="1" customWidth="1"/>
    <col min="18" max="18" width="12.42578125" customWidth="1"/>
    <col min="19" max="19" width="67.85546875" customWidth="1"/>
    <col min="20" max="20" width="14.85546875" customWidth="1"/>
    <col min="21" max="24" width="0" hidden="1" customWidth="1"/>
    <col min="25" max="16384" width="1.7109375" hidden="1"/>
  </cols>
  <sheetData>
    <row r="1" spans="1:18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K1" s="13"/>
      <c r="R1" s="44" t="str">
        <f>IF($B$7&gt;0,"Data not saved","")</f>
        <v/>
      </c>
    </row>
    <row r="2" spans="1:18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</row>
    <row r="3" spans="1:18" ht="5.25" customHeight="1" x14ac:dyDescent="0.25">
      <c r="A3" s="15" t="s">
        <v>23</v>
      </c>
      <c r="B3" s="17">
        <v>5</v>
      </c>
      <c r="C3" s="9"/>
    </row>
    <row r="4" spans="1:18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30</v>
      </c>
      <c r="I4" s="25" t="s">
        <v>31</v>
      </c>
      <c r="J4" s="25" t="s">
        <v>55</v>
      </c>
      <c r="K4" s="25" t="s">
        <v>18</v>
      </c>
      <c r="L4" s="25" t="s">
        <v>19</v>
      </c>
      <c r="M4" s="25" t="s">
        <v>32</v>
      </c>
      <c r="N4" s="25" t="s">
        <v>33</v>
      </c>
      <c r="O4" s="25" t="s">
        <v>34</v>
      </c>
      <c r="P4" s="25" t="s">
        <v>0</v>
      </c>
      <c r="Q4" s="25" t="s">
        <v>89</v>
      </c>
    </row>
    <row r="5" spans="1:18" ht="16.5" customHeight="1" x14ac:dyDescent="0.25">
      <c r="A5" s="15" t="s">
        <v>35</v>
      </c>
      <c r="B5" s="1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8" ht="16.5" customHeight="1" x14ac:dyDescent="0.25">
      <c r="A6" s="15" t="s">
        <v>22</v>
      </c>
    </row>
    <row r="7" spans="1:18" ht="16.5" customHeight="1" x14ac:dyDescent="0.25">
      <c r="A7" s="15" t="s">
        <v>25</v>
      </c>
      <c r="B7" s="18">
        <f>COUNTIFS(tblMapping[ACTION],"A")+COUNTIFS(tblMapping[ACTION],"M")</f>
        <v>0</v>
      </c>
    </row>
    <row r="20" spans="2:2" ht="16.5" customHeight="1" x14ac:dyDescent="0.25">
      <c r="B20" s="48" t="s">
        <v>106</v>
      </c>
    </row>
  </sheetData>
  <sheetProtection algorithmName="SHA-512" hashValue="a5ekuspALzGrWIZNd57EOYkuuI815Rf79dUru9OUxcgsQ5mpfy0UrZ5tvrTm8C5YUI7VS6y9i71lMWMzngO8pA==" saltValue="b577V/I4qO+wG94PYBKisw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Please select value from the list" promptTitle="Select a value" prompt="Please select value from the list" sqref="P5" xr:uid="{E7FA6E42-1A70-445D-8A2F-A73E702DB4DB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boMapping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9</xdr:col>
                <xdr:colOff>1209675</xdr:colOff>
                <xdr:row>0</xdr:row>
                <xdr:rowOff>304800</xdr:rowOff>
              </to>
            </anchor>
          </controlPr>
        </control>
      </mc:Choice>
      <mc:Fallback>
        <control shapeId="4097" r:id="rId4" name="cboMapping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FE14A-B1DE-4063-8148-89B4F62ABF88}">
  <sheetPr codeName="sh07"/>
  <dimension ref="A1:XFC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customWidth="1"/>
    <col min="9" max="9" width="20.7109375" customWidth="1"/>
    <col min="10" max="10" width="13.5703125" hidden="1" customWidth="1"/>
    <col min="11" max="11" width="45.7109375" customWidth="1"/>
    <col min="12" max="12" width="12.7109375" customWidth="1"/>
    <col min="13" max="13" width="17.85546875" customWidth="1"/>
    <col min="14" max="14" width="20.140625" customWidth="1"/>
    <col min="15" max="16383" width="1.7109375" hidden="1"/>
    <col min="16384" max="16384" width="4.85546875" hidden="1" customWidth="1"/>
  </cols>
  <sheetData>
    <row r="1" spans="1:14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N1" s="29" t="str">
        <f>IF($B$7&gt;0,"Data not saved","")</f>
        <v/>
      </c>
    </row>
    <row r="2" spans="1:14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</row>
    <row r="3" spans="1:14" ht="5.25" customHeight="1" x14ac:dyDescent="0.25">
      <c r="A3" s="15" t="s">
        <v>23</v>
      </c>
      <c r="B3" s="17">
        <v>1</v>
      </c>
      <c r="C3" s="9"/>
    </row>
    <row r="4" spans="1:14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53</v>
      </c>
      <c r="I4" s="25" t="s">
        <v>31</v>
      </c>
      <c r="J4" s="25" t="s">
        <v>18</v>
      </c>
      <c r="K4" s="25" t="s">
        <v>19</v>
      </c>
      <c r="L4" s="25" t="s">
        <v>54</v>
      </c>
      <c r="M4" s="25" t="s">
        <v>0</v>
      </c>
    </row>
    <row r="5" spans="1:14" ht="16.5" customHeight="1" x14ac:dyDescent="0.25">
      <c r="A5" s="15" t="s">
        <v>35</v>
      </c>
      <c r="B5" s="17"/>
      <c r="D5" s="26"/>
      <c r="E5" s="26"/>
      <c r="F5" s="26"/>
      <c r="G5" s="26"/>
      <c r="H5" s="26"/>
      <c r="I5" s="26"/>
      <c r="J5" s="26"/>
      <c r="K5" s="26"/>
      <c r="L5" s="26"/>
      <c r="M5" s="26"/>
    </row>
    <row r="6" spans="1:14" ht="16.5" customHeight="1" x14ac:dyDescent="0.25">
      <c r="A6" s="15" t="s">
        <v>22</v>
      </c>
    </row>
    <row r="7" spans="1:14" ht="16.5" customHeight="1" x14ac:dyDescent="0.25">
      <c r="A7" s="15" t="s">
        <v>25</v>
      </c>
      <c r="B7" s="18">
        <f>COUNTIFS(tblBatch[ACTION],"A")+COUNTIFS(tblBatch[ACTION],"M")</f>
        <v>0</v>
      </c>
    </row>
    <row r="9" spans="1:14" ht="15" x14ac:dyDescent="0.25"/>
  </sheetData>
  <sheetProtection algorithmName="SHA-512" hashValue="tyxOenzCtM0/e21x+0dFpIVp4GH/eFbzOu3KH2XsNf3YHB8ywcwo/80w6FovNkCGEOpT5xm5Tm29KwUApSxQKw==" saltValue="36J/AE7JG2PZZt9cVPbkhA==" spinCount="100000" sheet="1" objects="1" scenarios="1"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6F4A10D0-98F9-45BA-8279-6A0590D2BD8F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cboBatch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8</xdr:col>
                <xdr:colOff>1304925</xdr:colOff>
                <xdr:row>0</xdr:row>
                <xdr:rowOff>304800</xdr:rowOff>
              </to>
            </anchor>
          </controlPr>
        </control>
      </mc:Choice>
      <mc:Fallback>
        <control shapeId="11265" r:id="rId4" name="cboBatch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F36CD-5D97-427D-8F32-2BD1F537218B}">
  <sheetPr codeName="sh10"/>
  <dimension ref="A1:BH18"/>
  <sheetViews>
    <sheetView showGridLines="0" topLeftCell="C1" zoomScale="85" zoomScaleNormal="85" workbookViewId="0">
      <pane ySplit="4" topLeftCell="A5" activePane="bottomLeft" state="frozen"/>
      <selection activeCell="C1" sqref="C1"/>
      <selection pane="bottomLeft" activeCell="H4" sqref="H4"/>
    </sheetView>
  </sheetViews>
  <sheetFormatPr defaultColWidth="0" defaultRowHeight="16.5" customHeight="1" x14ac:dyDescent="0.25"/>
  <cols>
    <col min="1" max="1" width="10.7109375" hidden="1" customWidth="1"/>
    <col min="2" max="2" width="4.85546875" hidden="1" customWidth="1"/>
    <col min="3" max="3" width="3.28515625" customWidth="1"/>
    <col min="4" max="4" width="4.5703125" hidden="1" customWidth="1"/>
    <col min="5" max="5" width="4.28515625" hidden="1" customWidth="1"/>
    <col min="6" max="6" width="5" hidden="1" customWidth="1"/>
    <col min="7" max="7" width="3.85546875" hidden="1" customWidth="1"/>
    <col min="8" max="8" width="23.5703125" customWidth="1"/>
    <col min="9" max="9" width="23.5703125" hidden="1" customWidth="1"/>
    <col min="10" max="10" width="13.42578125" hidden="1" customWidth="1"/>
    <col min="11" max="11" width="33.140625" customWidth="1"/>
    <col min="12" max="12" width="16.140625" hidden="1" customWidth="1"/>
    <col min="13" max="13" width="21.42578125" hidden="1" customWidth="1"/>
    <col min="14" max="14" width="15.5703125" hidden="1" customWidth="1"/>
    <col min="15" max="15" width="26" hidden="1" customWidth="1"/>
    <col min="16" max="16" width="19.7109375" customWidth="1"/>
    <col min="17" max="17" width="32.140625" customWidth="1"/>
    <col min="18" max="18" width="33.85546875" customWidth="1"/>
    <col min="19" max="19" width="11.85546875" hidden="1" customWidth="1"/>
    <col min="20" max="21" width="25.7109375" customWidth="1"/>
    <col min="22" max="22" width="16.42578125" customWidth="1"/>
    <col min="23" max="23" width="20.85546875" customWidth="1"/>
    <col min="24" max="24" width="48.5703125" customWidth="1"/>
    <col min="25" max="27" width="17.7109375" customWidth="1"/>
    <col min="28" max="28" width="49.7109375" bestFit="1" customWidth="1"/>
    <col min="29" max="29" width="47.42578125" bestFit="1" customWidth="1"/>
    <col min="30" max="32" width="14.28515625" hidden="1" customWidth="1"/>
    <col min="33" max="36" width="13.42578125" hidden="1" customWidth="1"/>
    <col min="37" max="37" width="14.42578125" hidden="1" customWidth="1"/>
    <col min="38" max="38" width="14.42578125" customWidth="1"/>
    <col min="39" max="41" width="14.42578125" hidden="1" customWidth="1"/>
    <col min="42" max="44" width="20.85546875" hidden="1" customWidth="1"/>
    <col min="45" max="45" width="24.42578125" hidden="1" customWidth="1"/>
    <col min="46" max="60" width="15" hidden="1" customWidth="1"/>
    <col min="61" max="61" width="1.7109375" hidden="1" customWidth="1"/>
    <col min="62" max="16384" width="1.7109375" hidden="1"/>
  </cols>
  <sheetData>
    <row r="1" spans="1:47" ht="64.5" customHeight="1" x14ac:dyDescent="0.25">
      <c r="A1" s="15" t="s">
        <v>61</v>
      </c>
      <c r="B1" s="17">
        <v>5</v>
      </c>
      <c r="C1" s="14"/>
      <c r="D1" s="6" t="s">
        <v>91</v>
      </c>
      <c r="E1" s="6" t="s">
        <v>92</v>
      </c>
      <c r="F1" s="7" t="s">
        <v>93</v>
      </c>
      <c r="G1" s="2" t="s">
        <v>94</v>
      </c>
      <c r="H1" s="2" t="s">
        <v>95</v>
      </c>
      <c r="I1" s="2" t="s">
        <v>96</v>
      </c>
      <c r="J1" s="2" t="s">
        <v>103</v>
      </c>
      <c r="K1" s="13"/>
      <c r="L1" s="13"/>
      <c r="M1" s="13"/>
      <c r="N1" s="13"/>
      <c r="O1" s="13"/>
      <c r="P1" s="29"/>
      <c r="R1" s="33" t="str">
        <f>IF($B$7&gt;0,"Data not saved","")</f>
        <v/>
      </c>
    </row>
    <row r="2" spans="1:47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4"/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</row>
    <row r="3" spans="1:47" ht="5.25" customHeight="1" x14ac:dyDescent="0.25">
      <c r="A3" s="15" t="s">
        <v>23</v>
      </c>
      <c r="B3" s="17">
        <v>14</v>
      </c>
      <c r="C3" s="9"/>
    </row>
    <row r="4" spans="1:47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4" t="s">
        <v>31</v>
      </c>
      <c r="I4" s="24" t="s">
        <v>30</v>
      </c>
      <c r="J4" s="24" t="s">
        <v>18</v>
      </c>
      <c r="K4" s="24" t="s">
        <v>19</v>
      </c>
      <c r="L4" s="24" t="s">
        <v>36</v>
      </c>
      <c r="M4" s="24" t="s">
        <v>32</v>
      </c>
      <c r="N4" s="24" t="s">
        <v>33</v>
      </c>
      <c r="O4" s="24" t="s">
        <v>34</v>
      </c>
      <c r="P4" s="25" t="s">
        <v>66</v>
      </c>
      <c r="Q4" s="25" t="s">
        <v>38</v>
      </c>
      <c r="R4" s="25" t="s">
        <v>68</v>
      </c>
      <c r="S4" s="25" t="s">
        <v>11</v>
      </c>
      <c r="T4" s="25" t="s">
        <v>12</v>
      </c>
      <c r="U4" s="25" t="s">
        <v>13</v>
      </c>
      <c r="V4" s="25" t="s">
        <v>8</v>
      </c>
      <c r="W4" s="25" t="s">
        <v>69</v>
      </c>
      <c r="X4" s="25" t="s">
        <v>15</v>
      </c>
      <c r="Y4" s="25" t="s">
        <v>6</v>
      </c>
      <c r="Z4" s="25" t="s">
        <v>5</v>
      </c>
      <c r="AA4" s="25" t="s">
        <v>7</v>
      </c>
      <c r="AB4" s="25" t="s">
        <v>61</v>
      </c>
      <c r="AC4" s="25" t="s">
        <v>62</v>
      </c>
      <c r="AD4" s="25" t="s">
        <v>90</v>
      </c>
      <c r="AE4" s="25" t="s">
        <v>91</v>
      </c>
      <c r="AF4" s="25" t="s">
        <v>92</v>
      </c>
      <c r="AG4" s="25" t="s">
        <v>93</v>
      </c>
      <c r="AH4" s="25" t="s">
        <v>94</v>
      </c>
      <c r="AI4" s="25" t="s">
        <v>95</v>
      </c>
      <c r="AJ4" s="25" t="s">
        <v>96</v>
      </c>
      <c r="AK4" s="25" t="s">
        <v>97</v>
      </c>
      <c r="AL4" s="45"/>
      <c r="AM4" s="45"/>
      <c r="AN4" s="45"/>
      <c r="AO4" s="45"/>
    </row>
    <row r="5" spans="1:47" ht="16.5" customHeight="1" x14ac:dyDescent="0.25">
      <c r="A5" s="15" t="s">
        <v>21</v>
      </c>
      <c r="B5" s="43"/>
      <c r="D5" s="54"/>
      <c r="E5" s="54"/>
      <c r="F5" s="54"/>
      <c r="G5" s="55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41"/>
      <c r="Z5" s="41"/>
      <c r="AA5" s="41"/>
      <c r="AB5" s="49"/>
      <c r="AC5" s="49"/>
      <c r="AD5" s="49"/>
      <c r="AE5" s="49"/>
      <c r="AF5" s="49"/>
      <c r="AG5" s="49"/>
      <c r="AH5" s="49"/>
      <c r="AI5" s="49"/>
      <c r="AJ5" s="49"/>
      <c r="AK5" s="56"/>
      <c r="AL5" s="46"/>
      <c r="AM5" s="46"/>
      <c r="AN5" s="46"/>
      <c r="AO5" s="46"/>
      <c r="AQ5" t="s">
        <v>3</v>
      </c>
      <c r="AR5" t="s">
        <v>3</v>
      </c>
      <c r="AS5" t="s">
        <v>1</v>
      </c>
      <c r="AT5" t="s">
        <v>108</v>
      </c>
      <c r="AU5" t="s">
        <v>108</v>
      </c>
    </row>
    <row r="6" spans="1:47" ht="16.5" customHeight="1" x14ac:dyDescent="0.25">
      <c r="A6" s="15" t="s">
        <v>22</v>
      </c>
      <c r="B6" s="18"/>
      <c r="AL6" s="46"/>
      <c r="AM6" s="46"/>
      <c r="AN6" s="46"/>
      <c r="AO6" s="46"/>
      <c r="AQ6" t="s">
        <v>3</v>
      </c>
      <c r="AR6" t="s">
        <v>3</v>
      </c>
      <c r="AS6" t="s">
        <v>1</v>
      </c>
      <c r="AT6" t="s">
        <v>109</v>
      </c>
      <c r="AU6" t="s">
        <v>107</v>
      </c>
    </row>
    <row r="7" spans="1:47" ht="16.5" customHeight="1" x14ac:dyDescent="0.25">
      <c r="A7" s="15" t="s">
        <v>25</v>
      </c>
      <c r="B7">
        <f>COUNTIFS(tblScnSteps[ACTION],"A")+COUNTIFS(tblScnSteps[ACTION],"M")</f>
        <v>0</v>
      </c>
      <c r="AL7" s="46"/>
      <c r="AM7" s="46"/>
      <c r="AN7" s="46"/>
      <c r="AO7" s="46"/>
      <c r="AQ7" t="s">
        <v>3</v>
      </c>
      <c r="AR7" t="s">
        <v>3</v>
      </c>
      <c r="AS7" t="s">
        <v>1</v>
      </c>
      <c r="AT7" t="s">
        <v>110</v>
      </c>
      <c r="AU7" t="s">
        <v>114</v>
      </c>
    </row>
    <row r="8" spans="1:47" ht="16.5" customHeight="1" x14ac:dyDescent="0.25">
      <c r="AL8" s="46"/>
      <c r="AM8" s="46"/>
      <c r="AN8" s="46"/>
      <c r="AO8" s="46"/>
      <c r="AQ8" t="s">
        <v>3</v>
      </c>
      <c r="AR8" t="s">
        <v>3</v>
      </c>
      <c r="AS8" t="s">
        <v>1</v>
      </c>
      <c r="AT8" t="s">
        <v>111</v>
      </c>
      <c r="AU8" t="s">
        <v>115</v>
      </c>
    </row>
    <row r="9" spans="1:47" ht="16.5" customHeight="1" x14ac:dyDescent="0.25">
      <c r="AL9" s="46"/>
      <c r="AM9" s="46"/>
      <c r="AN9" s="46"/>
      <c r="AO9" s="46"/>
      <c r="AQ9" t="s">
        <v>3</v>
      </c>
      <c r="AR9" t="s">
        <v>3</v>
      </c>
      <c r="AS9" t="s">
        <v>1</v>
      </c>
      <c r="AT9" t="s">
        <v>107</v>
      </c>
      <c r="AU9" t="s">
        <v>107</v>
      </c>
    </row>
    <row r="10" spans="1:47" ht="16.5" customHeight="1" x14ac:dyDescent="0.25">
      <c r="AL10" s="46"/>
      <c r="AM10" s="46"/>
      <c r="AN10" s="46"/>
      <c r="AO10" s="46"/>
      <c r="AQ10" t="s">
        <v>3</v>
      </c>
      <c r="AR10" t="s">
        <v>3</v>
      </c>
      <c r="AS10" t="s">
        <v>1</v>
      </c>
      <c r="AT10" t="s">
        <v>112</v>
      </c>
      <c r="AU10" t="s">
        <v>112</v>
      </c>
    </row>
    <row r="11" spans="1:47" ht="16.5" customHeight="1" x14ac:dyDescent="0.25">
      <c r="AL11" s="46"/>
      <c r="AM11" s="46"/>
      <c r="AN11" s="46"/>
      <c r="AO11" s="46"/>
      <c r="AQ11" t="s">
        <v>3</v>
      </c>
      <c r="AR11" t="s">
        <v>3</v>
      </c>
      <c r="AS11" t="s">
        <v>1</v>
      </c>
      <c r="AT11" t="s">
        <v>107</v>
      </c>
      <c r="AU11" t="s">
        <v>107</v>
      </c>
    </row>
    <row r="12" spans="1:47" ht="16.5" customHeight="1" x14ac:dyDescent="0.25">
      <c r="AL12" s="46"/>
      <c r="AM12" s="46"/>
      <c r="AN12" s="46"/>
      <c r="AO12" s="46"/>
      <c r="AQ12" t="s">
        <v>3</v>
      </c>
      <c r="AR12" t="s">
        <v>3</v>
      </c>
      <c r="AS12" t="s">
        <v>1</v>
      </c>
      <c r="AT12" t="s">
        <v>107</v>
      </c>
      <c r="AU12" t="s">
        <v>107</v>
      </c>
    </row>
    <row r="13" spans="1:47" ht="16.5" customHeight="1" x14ac:dyDescent="0.25">
      <c r="AL13" s="46"/>
      <c r="AM13" s="46"/>
      <c r="AN13" s="46"/>
      <c r="AO13" s="46"/>
      <c r="AQ13" t="s">
        <v>3</v>
      </c>
      <c r="AR13" t="s">
        <v>3</v>
      </c>
      <c r="AS13" t="s">
        <v>1</v>
      </c>
      <c r="AT13">
        <v>1</v>
      </c>
      <c r="AU13">
        <v>2</v>
      </c>
    </row>
    <row r="14" spans="1:47" ht="16.5" customHeight="1" x14ac:dyDescent="0.25">
      <c r="AL14" s="46"/>
      <c r="AM14" s="46"/>
      <c r="AN14" s="46"/>
      <c r="AO14" s="46"/>
      <c r="AQ14" t="s">
        <v>3</v>
      </c>
      <c r="AR14" t="s">
        <v>3</v>
      </c>
      <c r="AS14" t="s">
        <v>1</v>
      </c>
      <c r="AT14" t="s">
        <v>112</v>
      </c>
      <c r="AU14" t="s">
        <v>112</v>
      </c>
    </row>
    <row r="15" spans="1:47" ht="16.5" customHeight="1" x14ac:dyDescent="0.25">
      <c r="AL15" s="46"/>
      <c r="AM15" s="46"/>
      <c r="AN15" s="46"/>
      <c r="AO15" s="46"/>
      <c r="AQ15" t="s">
        <v>3</v>
      </c>
      <c r="AR15" t="s">
        <v>3</v>
      </c>
      <c r="AS15" t="s">
        <v>1</v>
      </c>
      <c r="AT15" t="s">
        <v>107</v>
      </c>
      <c r="AU15" t="s">
        <v>107</v>
      </c>
    </row>
    <row r="16" spans="1:47" ht="16.5" customHeight="1" x14ac:dyDescent="0.25">
      <c r="AL16" s="46"/>
      <c r="AM16" s="46"/>
      <c r="AN16" s="46"/>
      <c r="AO16" s="46"/>
      <c r="AQ16" t="s">
        <v>3</v>
      </c>
      <c r="AR16" t="s">
        <v>3</v>
      </c>
      <c r="AS16" t="s">
        <v>1</v>
      </c>
      <c r="AT16" t="s">
        <v>107</v>
      </c>
      <c r="AU16" t="s">
        <v>107</v>
      </c>
    </row>
    <row r="17" spans="38:47" ht="16.5" customHeight="1" x14ac:dyDescent="0.25">
      <c r="AL17" s="46"/>
      <c r="AM17" s="46"/>
      <c r="AN17" s="46"/>
      <c r="AO17" s="46"/>
      <c r="AQ17" t="s">
        <v>3</v>
      </c>
      <c r="AR17" t="s">
        <v>3</v>
      </c>
      <c r="AS17" t="s">
        <v>3</v>
      </c>
      <c r="AT17" t="s">
        <v>116</v>
      </c>
      <c r="AU17" t="s">
        <v>113</v>
      </c>
    </row>
    <row r="18" spans="38:47" ht="16.5" customHeight="1" x14ac:dyDescent="0.25">
      <c r="AL18" s="46"/>
      <c r="AM18" s="46"/>
      <c r="AN18" s="46"/>
      <c r="AO18" s="46"/>
      <c r="AQ18" t="s">
        <v>3</v>
      </c>
      <c r="AR18" t="s">
        <v>3</v>
      </c>
      <c r="AS18" t="s">
        <v>1</v>
      </c>
      <c r="AT18" t="s">
        <v>107</v>
      </c>
      <c r="AU18" t="s">
        <v>107</v>
      </c>
    </row>
  </sheetData>
  <sheetProtection algorithmName="SHA-512" hashValue="14lIw3OBJMlWTI2SIcLFpTSd79ip+uSN1921v+DrZstvFIRpHSitIrWn0Zch4EsFHGBw8QQMHFkEwULsiePGWQ==" saltValue="9/Dr7sNT5GnYz/sXVuOfdQ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Only values Y or N are allowed." promptTitle="Select a value" prompt="Please select a value from the list." sqref="Y5:AA5" xr:uid="{605E14D1-2FCA-4E5F-A7C7-2581E233B9FE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768-8BCF-4C41-8D9E-5052A10C105A}">
  <sheetPr codeName="sh08"/>
  <dimension ref="A1:S16"/>
  <sheetViews>
    <sheetView showGridLines="0" topLeftCell="C1" zoomScaleNormal="100" workbookViewId="0">
      <pane ySplit="4" topLeftCell="A5" activePane="bottomLeft" state="frozen"/>
      <selection pane="bottomLeft" activeCell="H4" sqref="H4"/>
    </sheetView>
  </sheetViews>
  <sheetFormatPr defaultColWidth="12.140625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hidden="1" customWidth="1"/>
    <col min="7" max="7" width="12.140625" hidden="1" customWidth="1"/>
    <col min="8" max="8" width="23.28515625" customWidth="1"/>
    <col min="9" max="9" width="25.42578125" customWidth="1"/>
    <col min="10" max="10" width="42.42578125" customWidth="1"/>
    <col min="11" max="11" width="70.140625" customWidth="1"/>
    <col min="13" max="13" width="15" bestFit="1" customWidth="1"/>
    <col min="14" max="14" width="21.7109375" customWidth="1"/>
    <col min="15" max="15" width="30.140625" style="51" customWidth="1"/>
    <col min="16" max="18" width="23.28515625" hidden="1" customWidth="1"/>
    <col min="19" max="19" width="20.5703125" hidden="1" customWidth="1"/>
  </cols>
  <sheetData>
    <row r="1" spans="1:19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I1" s="2"/>
      <c r="J1" s="2"/>
      <c r="K1" s="27"/>
    </row>
    <row r="2" spans="1:19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1"/>
      <c r="I2" s="4"/>
      <c r="J2" s="5"/>
      <c r="K2" s="1"/>
      <c r="L2" s="1"/>
      <c r="M2" s="1"/>
      <c r="N2" s="1"/>
      <c r="O2" s="52"/>
      <c r="P2" s="1"/>
      <c r="Q2" s="1"/>
    </row>
    <row r="3" spans="1:19" ht="5.25" customHeight="1" thickBot="1" x14ac:dyDescent="0.3">
      <c r="A3" s="15" t="s">
        <v>23</v>
      </c>
      <c r="B3" s="17">
        <v>10</v>
      </c>
      <c r="C3" s="9"/>
    </row>
    <row r="4" spans="1:19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39" t="s">
        <v>98</v>
      </c>
      <c r="I4" s="20" t="s">
        <v>31</v>
      </c>
      <c r="J4" s="20" t="s">
        <v>41</v>
      </c>
      <c r="K4" s="20" t="s">
        <v>42</v>
      </c>
      <c r="L4" s="39" t="s">
        <v>58</v>
      </c>
      <c r="M4" s="39" t="s">
        <v>33</v>
      </c>
      <c r="N4" s="39" t="s">
        <v>60</v>
      </c>
      <c r="O4" s="53" t="s">
        <v>99</v>
      </c>
      <c r="P4" s="39" t="s">
        <v>100</v>
      </c>
      <c r="Q4" s="39" t="s">
        <v>101</v>
      </c>
    </row>
    <row r="5" spans="1:19" ht="16.5" customHeight="1" x14ac:dyDescent="0.25">
      <c r="A5" s="15" t="s">
        <v>21</v>
      </c>
      <c r="B5" s="1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  <c r="P5" s="59"/>
      <c r="Q5" s="59"/>
      <c r="R5" s="50"/>
      <c r="S5" s="50"/>
    </row>
    <row r="6" spans="1:19" ht="16.5" customHeight="1" x14ac:dyDescent="0.25">
      <c r="A6" s="15" t="s">
        <v>22</v>
      </c>
      <c r="B6" s="17"/>
      <c r="R6" s="50"/>
      <c r="S6" s="50"/>
    </row>
    <row r="7" spans="1:19" ht="16.5" customHeight="1" x14ac:dyDescent="0.25">
      <c r="A7" s="15" t="s">
        <v>25</v>
      </c>
      <c r="B7" s="18">
        <f>COUNTIFS(tblRunData[ACTION],"A")+COUNTIFS(tblRunData[ACTION],"M")</f>
        <v>0</v>
      </c>
      <c r="R7" s="50"/>
      <c r="S7" s="50"/>
    </row>
    <row r="8" spans="1:19" ht="16.5" customHeight="1" x14ac:dyDescent="0.25">
      <c r="R8" s="50"/>
      <c r="S8" s="50"/>
    </row>
    <row r="9" spans="1:19" ht="16.5" customHeight="1" x14ac:dyDescent="0.25">
      <c r="R9" s="50"/>
      <c r="S9" s="50"/>
    </row>
    <row r="10" spans="1:19" ht="16.5" customHeight="1" x14ac:dyDescent="0.25">
      <c r="R10" s="50"/>
      <c r="S10" s="50"/>
    </row>
    <row r="11" spans="1:19" ht="16.5" customHeight="1" x14ac:dyDescent="0.25">
      <c r="R11" s="50"/>
      <c r="S11" s="50"/>
    </row>
    <row r="12" spans="1:19" ht="16.5" customHeight="1" x14ac:dyDescent="0.25">
      <c r="R12" s="50"/>
      <c r="S12" s="50"/>
    </row>
    <row r="13" spans="1:19" ht="16.5" customHeight="1" x14ac:dyDescent="0.25">
      <c r="R13" s="50"/>
      <c r="S13" s="50"/>
    </row>
    <row r="14" spans="1:19" ht="16.5" customHeight="1" x14ac:dyDescent="0.25">
      <c r="R14" s="50"/>
      <c r="S14" s="50"/>
    </row>
    <row r="15" spans="1:19" ht="16.5" customHeight="1" x14ac:dyDescent="0.25">
      <c r="R15" s="50"/>
      <c r="S15" s="50"/>
    </row>
    <row r="16" spans="1:19" ht="16.5" customHeight="1" x14ac:dyDescent="0.25">
      <c r="R16" s="50"/>
      <c r="S16" s="50"/>
    </row>
  </sheetData>
  <sheetProtection algorithmName="SHA-512" hashValue="StAJtYqXGgrdcdRotbeATqecak88kbUkdCUJc8jz4Jj3nAAF7yh2/RoBnYMJC4Q5Zpn+lwHJme2L9cadmRp+1Q==" saltValue="eXtTh5GlK0aILFaS5UOl6A==" spinCount="100000" sheet="1" objects="1" scenarios="1" autoFilter="0"/>
  <dataConsolidate/>
  <phoneticPr fontId="7" type="noConversion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0D784-27CF-4FA2-BCBB-8294E8E6AD28}">
  <sheetPr codeName="sh13"/>
  <dimension ref="A1:Q7"/>
  <sheetViews>
    <sheetView showGridLines="0" tabSelected="1" topLeftCell="C1" zoomScaleNormal="100" workbookViewId="0">
      <pane ySplit="4" topLeftCell="A5" activePane="bottomLeft" state="frozen"/>
      <selection pane="bottomLeft" activeCell="E4" sqref="E4"/>
    </sheetView>
  </sheetViews>
  <sheetFormatPr defaultColWidth="12.140625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42578125" hidden="1" customWidth="1"/>
    <col min="8" max="8" width="11.42578125" hidden="1" customWidth="1"/>
    <col min="9" max="9" width="30.140625" customWidth="1"/>
    <col min="10" max="10" width="42.140625" customWidth="1"/>
    <col min="11" max="11" width="30.85546875" customWidth="1"/>
    <col min="12" max="12" width="25.28515625" customWidth="1"/>
    <col min="13" max="13" width="27.7109375" customWidth="1"/>
    <col min="14" max="15" width="18" customWidth="1"/>
    <col min="16" max="16" width="22.7109375" bestFit="1" customWidth="1"/>
  </cols>
  <sheetData>
    <row r="1" spans="1:17" ht="63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M1" s="27"/>
    </row>
    <row r="2" spans="1:17" ht="15" hidden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</row>
    <row r="3" spans="1:17" ht="3" customHeight="1" thickBot="1" x14ac:dyDescent="0.3">
      <c r="A3" s="15" t="s">
        <v>23</v>
      </c>
      <c r="B3" s="17">
        <v>1</v>
      </c>
      <c r="C3" s="9"/>
    </row>
    <row r="4" spans="1:17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57</v>
      </c>
      <c r="I4" s="20" t="s">
        <v>31</v>
      </c>
      <c r="J4" s="20" t="s">
        <v>55</v>
      </c>
      <c r="K4" s="37" t="s">
        <v>56</v>
      </c>
      <c r="L4" s="37" t="s">
        <v>63</v>
      </c>
      <c r="M4" s="37" t="s">
        <v>60</v>
      </c>
      <c r="N4" s="37" t="s">
        <v>58</v>
      </c>
      <c r="O4" s="37" t="s">
        <v>59</v>
      </c>
      <c r="P4" s="37" t="s">
        <v>102</v>
      </c>
      <c r="Q4" s="21"/>
    </row>
    <row r="5" spans="1:17" ht="16.5" customHeight="1" x14ac:dyDescent="0.25">
      <c r="A5" s="15" t="s">
        <v>21</v>
      </c>
      <c r="B5" s="1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17" ht="16.5" customHeight="1" x14ac:dyDescent="0.25">
      <c r="A6" s="15" t="s">
        <v>22</v>
      </c>
      <c r="B6" s="17"/>
    </row>
    <row r="7" spans="1:17" ht="16.5" customHeight="1" x14ac:dyDescent="0.25">
      <c r="A7" s="15" t="s">
        <v>25</v>
      </c>
      <c r="B7" s="18">
        <f>COUNTIFS(tblRunChart[ACTION],"A")+COUNTIFS(tblRunChart[ACTION],"M")</f>
        <v>0</v>
      </c>
    </row>
  </sheetData>
  <sheetProtection algorithmName="SHA-512" hashValue="O/EJ0Ct4rFgDPSVSmftCp9pcj/Dc4nC+05F8T5Ta9tp9BlPTcZgtr+qcSiCZOd5lqKO2eg0nuPUrIdLTsChCxA==" saltValue="ppRwN2V+A0vOhQOy+f1KmA==" spinCount="100000" sheet="1" objects="1" scenarios="1" autoFilter="0"/>
  <dataConsolidate/>
  <dataValidations count="2">
    <dataValidation type="list" allowBlank="1" showInputMessage="1" showErrorMessage="1" errorTitle="Invalid value" error="Please select value from the list" promptTitle="Select a value" prompt="Please select value from the list" sqref="O5" xr:uid="{DDAD596F-1E61-40B8-A0BE-1605B309991A}">
      <formula1>"Y,N"</formula1>
    </dataValidation>
    <dataValidation type="list" allowBlank="1" showInputMessage="1" showErrorMessage="1" errorTitle="Invalid value" error="Please select value from the list" promptTitle="Select a value" prompt="Please select value from the list" sqref="N5" xr:uid="{BEE668B4-0335-475D-806E-5B5A234B94F8}">
      <formula1>"DATA_01,DATA_02"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5364" r:id="rId4" name="cmbScnId">
          <controlPr autoLine="0" autoPict="0" r:id="rId5">
            <anchor moveWithCells="1">
              <from>
                <xdr:col>9</xdr:col>
                <xdr:colOff>0</xdr:colOff>
                <xdr:row>0</xdr:row>
                <xdr:rowOff>9525</xdr:rowOff>
              </from>
              <to>
                <xdr:col>10</xdr:col>
                <xdr:colOff>0</xdr:colOff>
                <xdr:row>0</xdr:row>
                <xdr:rowOff>228600</xdr:rowOff>
              </to>
            </anchor>
          </controlPr>
        </control>
      </mc:Choice>
      <mc:Fallback>
        <control shapeId="15364" r:id="rId4" name="cmbScnId"/>
      </mc:Fallback>
    </mc:AlternateContent>
  </controls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E88E0-AE0A-469B-8D82-2BD8B1DB2394}">
  <sheetPr codeName="sh09"/>
  <dimension ref="A1:K7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140625" hidden="1" customWidth="1"/>
    <col min="8" max="8" width="15.5703125" hidden="1" customWidth="1"/>
    <col min="9" max="9" width="30.140625" customWidth="1"/>
    <col min="10" max="10" width="96" customWidth="1"/>
    <col min="11" max="11" width="6.5703125" customWidth="1"/>
    <col min="12" max="16384" width="12.140625" hidden="1"/>
  </cols>
  <sheetData>
    <row r="1" spans="1:11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27" t="str">
        <f>IF($B$7&gt;0,"Data not saved","")</f>
        <v/>
      </c>
    </row>
    <row r="2" spans="1:11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5" t="s">
        <v>23</v>
      </c>
      <c r="B3" s="17">
        <v>5</v>
      </c>
      <c r="C3" s="9"/>
    </row>
    <row r="4" spans="1:11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43</v>
      </c>
      <c r="I4" s="20" t="s">
        <v>41</v>
      </c>
      <c r="J4" s="20" t="s">
        <v>42</v>
      </c>
      <c r="K4" s="21"/>
    </row>
    <row r="5" spans="1:11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  <c r="J5" s="26"/>
    </row>
    <row r="6" spans="1:11" ht="16.5" customHeight="1" x14ac:dyDescent="0.25">
      <c r="A6" s="15" t="s">
        <v>22</v>
      </c>
      <c r="B6" s="17"/>
    </row>
    <row r="7" spans="1:11" ht="16.5" customHeight="1" x14ac:dyDescent="0.25">
      <c r="A7" s="15" t="s">
        <v>25</v>
      </c>
      <c r="B7" s="18">
        <f>COUNTIFS(tblCData[ACTION],"A")+COUNTIFS(tblCData[ACTION],"M")</f>
        <v>0</v>
      </c>
    </row>
  </sheetData>
  <sheetProtection algorithmName="SHA-512" hashValue="PJc/h/OWgAoRo62kgWK53iKYSz9Bd9bdy4BfmMKi6aZFRsGu+m5Yei61t/iP+1cckvATEfHaM6n3+11wcJ2u6g==" saltValue="PL4EhrPKt8NC3LohFvkxjQ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C923E-7A91-469A-8AD4-149BDB8FAC8F}">
  <sheetPr codeName="sh11"/>
  <dimension ref="A1:G20"/>
  <sheetViews>
    <sheetView showGridLines="0" topLeftCell="B1" zoomScaleNormal="100" workbookViewId="0">
      <selection activeCell="B2" sqref="B2"/>
    </sheetView>
  </sheetViews>
  <sheetFormatPr defaultColWidth="0" defaultRowHeight="15" x14ac:dyDescent="0.25"/>
  <cols>
    <col min="1" max="1" width="14.7109375" hidden="1" customWidth="1"/>
    <col min="2" max="2" width="18.85546875" customWidth="1"/>
    <col min="3" max="3" width="47.42578125" style="3" customWidth="1"/>
    <col min="4" max="7" width="9.140625" customWidth="1"/>
    <col min="8" max="16384" width="9.140625" hidden="1"/>
  </cols>
  <sheetData>
    <row r="1" spans="1:3" x14ac:dyDescent="0.25">
      <c r="A1" s="10" t="s">
        <v>4</v>
      </c>
      <c r="B1" s="11" t="s">
        <v>71</v>
      </c>
      <c r="C1" s="12" t="s">
        <v>72</v>
      </c>
    </row>
    <row r="2" spans="1:3" ht="18.95" customHeight="1" x14ac:dyDescent="0.25">
      <c r="A2" s="34">
        <v>1</v>
      </c>
      <c r="B2" s="35" t="s">
        <v>64</v>
      </c>
      <c r="C2" s="36" t="s">
        <v>76</v>
      </c>
    </row>
    <row r="3" spans="1:3" ht="18.95" customHeight="1" x14ac:dyDescent="0.25">
      <c r="A3" s="26">
        <v>2</v>
      </c>
      <c r="B3" s="26" t="s">
        <v>64</v>
      </c>
      <c r="C3" s="40" t="s">
        <v>67</v>
      </c>
    </row>
    <row r="4" spans="1:3" ht="18.95" customHeight="1" x14ac:dyDescent="0.25">
      <c r="A4" s="26">
        <v>3</v>
      </c>
      <c r="B4" s="26" t="s">
        <v>64</v>
      </c>
      <c r="C4" s="40" t="s">
        <v>77</v>
      </c>
    </row>
    <row r="5" spans="1:3" ht="18.95" customHeight="1" x14ac:dyDescent="0.25">
      <c r="A5" s="26">
        <v>4</v>
      </c>
      <c r="B5" s="26" t="s">
        <v>64</v>
      </c>
      <c r="C5" s="40" t="s">
        <v>78</v>
      </c>
    </row>
    <row r="6" spans="1:3" ht="18.95" customHeight="1" x14ac:dyDescent="0.25">
      <c r="A6" s="26">
        <v>5</v>
      </c>
      <c r="B6" s="26" t="s">
        <v>64</v>
      </c>
      <c r="C6" s="40" t="s">
        <v>79</v>
      </c>
    </row>
    <row r="7" spans="1:3" ht="52.5" customHeight="1" x14ac:dyDescent="0.25">
      <c r="A7" s="26">
        <v>6</v>
      </c>
      <c r="B7" s="26" t="s">
        <v>8</v>
      </c>
      <c r="C7" s="40" t="s">
        <v>70</v>
      </c>
    </row>
    <row r="8" spans="1:3" ht="18.95" customHeight="1" x14ac:dyDescent="0.25">
      <c r="A8" s="26">
        <v>7</v>
      </c>
      <c r="B8" s="26" t="s">
        <v>8</v>
      </c>
      <c r="C8" s="40" t="s">
        <v>74</v>
      </c>
    </row>
    <row r="9" spans="1:3" x14ac:dyDescent="0.25">
      <c r="A9" s="26">
        <v>8</v>
      </c>
      <c r="B9" s="26" t="s">
        <v>8</v>
      </c>
      <c r="C9" s="40" t="s">
        <v>73</v>
      </c>
    </row>
    <row r="10" spans="1:3" x14ac:dyDescent="0.25">
      <c r="A10" s="26">
        <v>9</v>
      </c>
      <c r="B10" s="26" t="s">
        <v>8</v>
      </c>
      <c r="C10" s="40" t="s">
        <v>75</v>
      </c>
    </row>
    <row r="11" spans="1:3" x14ac:dyDescent="0.25">
      <c r="A11" s="26">
        <v>10</v>
      </c>
      <c r="B11" s="26" t="s">
        <v>56</v>
      </c>
      <c r="C11" s="40" t="s">
        <v>85</v>
      </c>
    </row>
    <row r="12" spans="1:3" x14ac:dyDescent="0.25">
      <c r="A12" s="26">
        <v>11</v>
      </c>
      <c r="B12" s="26" t="s">
        <v>56</v>
      </c>
      <c r="C12" s="40" t="s">
        <v>86</v>
      </c>
    </row>
    <row r="13" spans="1:3" x14ac:dyDescent="0.25">
      <c r="A13" s="26">
        <v>12</v>
      </c>
      <c r="B13" s="26" t="s">
        <v>56</v>
      </c>
      <c r="C13" s="40" t="s">
        <v>87</v>
      </c>
    </row>
    <row r="14" spans="1:3" x14ac:dyDescent="0.25">
      <c r="A14" s="26">
        <v>13</v>
      </c>
      <c r="B14" s="26" t="s">
        <v>65</v>
      </c>
      <c r="C14" s="40" t="s">
        <v>80</v>
      </c>
    </row>
    <row r="15" spans="1:3" x14ac:dyDescent="0.25">
      <c r="A15" s="26">
        <v>14</v>
      </c>
      <c r="B15" s="26" t="s">
        <v>65</v>
      </c>
      <c r="C15" s="40" t="s">
        <v>81</v>
      </c>
    </row>
    <row r="16" spans="1:3" x14ac:dyDescent="0.25">
      <c r="A16" s="26">
        <v>15</v>
      </c>
      <c r="B16" s="26" t="s">
        <v>9</v>
      </c>
      <c r="C16" s="40" t="s">
        <v>82</v>
      </c>
    </row>
    <row r="17" spans="1:3" x14ac:dyDescent="0.25">
      <c r="A17" s="26">
        <v>16</v>
      </c>
      <c r="B17" s="26" t="s">
        <v>9</v>
      </c>
      <c r="C17" s="40" t="s">
        <v>83</v>
      </c>
    </row>
    <row r="18" spans="1:3" x14ac:dyDescent="0.25">
      <c r="A18" s="26">
        <v>17</v>
      </c>
      <c r="B18" s="26" t="s">
        <v>9</v>
      </c>
      <c r="C18" s="40" t="s">
        <v>84</v>
      </c>
    </row>
    <row r="19" spans="1:3" ht="45" x14ac:dyDescent="0.25">
      <c r="A19" s="26">
        <v>45</v>
      </c>
      <c r="B19" s="26" t="s">
        <v>88</v>
      </c>
      <c r="C19" s="40" t="s">
        <v>105</v>
      </c>
    </row>
    <row r="20" spans="1:3" x14ac:dyDescent="0.25">
      <c r="A20" s="26">
        <v>101</v>
      </c>
      <c r="B20" s="26" t="s">
        <v>56</v>
      </c>
      <c r="C20" s="40" t="s">
        <v>117</v>
      </c>
    </row>
  </sheetData>
  <sheetProtection algorithmName="SHA-512" hashValue="+rMzankpScVr7rObrJAvkoB1dRkEw0x1cyjk13LIVjKOGd95KjNQ3S9G16tn9KloAvnt5ZR3BntCHt1XtTiUbA==" saltValue="bTDHtJo7Q9qReJFee8p4dA==" spinCount="100000" sheet="1" objects="1" scenarios="1" autoFilter="0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OBJECT_REPO</vt:lpstr>
      <vt:lpstr>FUNC_MASTER</vt:lpstr>
      <vt:lpstr>SUBFUNC_MASTER</vt:lpstr>
      <vt:lpstr>FUNC_STEPS</vt:lpstr>
      <vt:lpstr>API</vt:lpstr>
      <vt:lpstr>FUNC_MAP</vt:lpstr>
      <vt:lpstr>SCN_FUNC_BATCHING</vt:lpstr>
      <vt:lpstr>SCN_STEPS_AUTOMATION</vt:lpstr>
      <vt:lpstr>RUN_TIME_DATA</vt:lpstr>
      <vt:lpstr>RUNCHART</vt:lpstr>
      <vt:lpstr>COMMON_DATA</vt:lpstr>
      <vt:lpstr>LIST_ENUMS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Rajendra Biradar</dc:creator>
  <cp:lastModifiedBy>Rajendra Biradar</cp:lastModifiedBy>
  <dcterms:created xsi:type="dcterms:W3CDTF">2023-09-17T14:06:33Z</dcterms:created>
  <dcterms:modified xsi:type="dcterms:W3CDTF">2025-07-17T19:39:10Z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01c791-7230-4e94-9969-17c748e16c53_Enabled">
    <vt:lpwstr>true</vt:lpwstr>
  </property>
  <property fmtid="{D5CDD505-2E9C-101B-9397-08002B2CF9AE}" pid="3" name="MSIP_Label_8b01c791-7230-4e94-9969-17c748e16c53_SetDate">
    <vt:lpwstr>2023-12-23T09:22:13Z</vt:lpwstr>
  </property>
  <property fmtid="{D5CDD505-2E9C-101B-9397-08002B2CF9AE}" pid="4" name="MSIP_Label_8b01c791-7230-4e94-9969-17c748e16c53_Method">
    <vt:lpwstr>Privileged</vt:lpwstr>
  </property>
  <property fmtid="{D5CDD505-2E9C-101B-9397-08002B2CF9AE}" pid="5" name="MSIP_Label_8b01c791-7230-4e94-9969-17c748e16c53_Name">
    <vt:lpwstr>FAB Staff Personal Data</vt:lpwstr>
  </property>
  <property fmtid="{D5CDD505-2E9C-101B-9397-08002B2CF9AE}" pid="6" name="MSIP_Label_8b01c791-7230-4e94-9969-17c748e16c53_SiteId">
    <vt:lpwstr>7bc93881-0733-48ab-baa1-ee3ed7717633</vt:lpwstr>
  </property>
  <property fmtid="{D5CDD505-2E9C-101B-9397-08002B2CF9AE}" pid="7" name="MSIP_Label_8b01c791-7230-4e94-9969-17c748e16c53_ActionId">
    <vt:lpwstr>f3a3cc28-e307-496b-86cd-49a0dec63a08</vt:lpwstr>
  </property>
  <property fmtid="{D5CDD505-2E9C-101B-9397-08002B2CF9AE}" pid="8" name="MSIP_Label_8b01c791-7230-4e94-9969-17c748e16c53_ContentBits">
    <vt:lpwstr>2</vt:lpwstr>
  </property>
</Properties>
</file>