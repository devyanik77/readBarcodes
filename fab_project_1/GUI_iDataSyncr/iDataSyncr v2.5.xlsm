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6.xml" ContentType="application/vnd.openxmlformats-officedocument.spreadsheetml.table+xml"/>
  <Override PartName="/xl/drawings/drawing7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tables/table7.xml" ContentType="application/vnd.openxmlformats-officedocument.spreadsheetml.table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drawings/drawing9.xml" ContentType="application/vnd.openxmlformats-officedocument.drawing+xml"/>
  <Override PartName="/xl/tables/table9.xml" ContentType="application/vnd.openxmlformats-officedocument.spreadsheetml.table+xml"/>
  <Override PartName="/xl/drawings/drawing10.xml" ContentType="application/vnd.openxmlformats-officedocument.drawing+xml"/>
  <Override PartName="/xl/tables/table10.xml" ContentType="application/vnd.openxmlformats-officedocument.spreadsheetml.table+xml"/>
  <Override PartName="/xl/drawings/drawing11.xml" ContentType="application/vnd.openxmlformats-officedocument.drawing+xml"/>
  <Override PartName="/xl/tables/table11.xml" ContentType="application/vnd.openxmlformats-officedocument.spreadsheetml.table+xml"/>
  <Override PartName="/xl/drawings/drawing12.xml" ContentType="application/vnd.openxmlformats-officedocument.drawing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Z:\Test Automation &amp; PT\Test Automation\Baseline\Tool\Opensource\GUI_iDataSyncr\"/>
    </mc:Choice>
  </mc:AlternateContent>
  <xr:revisionPtr revIDLastSave="0" documentId="13_ncr:1_{C87A46A2-BE1F-4DD5-B79B-44911E20DCAC}" xr6:coauthVersionLast="47" xr6:coauthVersionMax="47" xr10:uidLastSave="{00000000-0000-0000-0000-000000000000}"/>
  <workbookProtection workbookAlgorithmName="SHA-512" workbookHashValue="l7xzf8mm1UdWT6upIbzMs7h0byt0yCqTG7DNP4d0R+6lNWKU5whEJwPF23FIyxcWLGnv6g+Yg4sCQDL/7phUGA==" workbookSaltValue="VXUpsrAuAKnfZ+3Wuv80sw==" workbookSpinCount="100000" lockStructure="1"/>
  <bookViews>
    <workbookView xWindow="-120" yWindow="-120" windowWidth="20730" windowHeight="11040" tabRatio="913" firstSheet="3" activeTab="9" xr2:uid="{EB71F0F0-4ED3-4B26-A3EA-CDD9D9782923}"/>
  </bookViews>
  <sheets>
    <sheet name="OBJECT_REPO" sheetId="6" r:id="rId1"/>
    <sheet name="FUNC_MASTER" sheetId="8" r:id="rId2"/>
    <sheet name="SUBFUNC_MASTER" sheetId="10" r:id="rId3"/>
    <sheet name="SUBFUNC_STEPS" sheetId="12" r:id="rId4"/>
    <sheet name="API" sheetId="15" state="hidden" r:id="rId5"/>
    <sheet name="FUNC_SUBFUNC_MAP" sheetId="11" r:id="rId6"/>
    <sheet name="SCN_FUNC_BATCHING" sheetId="16" r:id="rId7"/>
    <sheet name="SCN_STEPS_GENERATOR" sheetId="17" r:id="rId8"/>
    <sheet name="RUN_TIME_DATA" sheetId="13" r:id="rId9"/>
    <sheet name="RUNCHART" sheetId="19" r:id="rId10"/>
    <sheet name="COMMON_DATA" sheetId="14" r:id="rId11"/>
    <sheet name="LIST_ENUMS" sheetId="5" r:id="rId12"/>
  </sheets>
  <functionGroups builtInGroupCount="19"/>
  <definedNames>
    <definedName name="_xlnm._FilterDatabase" localSheetId="4" hidden="1">API!$D$5:$U$5</definedName>
    <definedName name="_xlnm._FilterDatabase" localSheetId="5" hidden="1">FUNC_SUBFUNC_MAP!$D$5:$S$5</definedName>
    <definedName name="_xlnm._FilterDatabase" localSheetId="0" hidden="1">OBJECT_REPO!$D$5:$L$5</definedName>
    <definedName name="_xlnm._FilterDatabase" localSheetId="6" hidden="1">SCN_FUNC_BATCHING!$D$5:$M$5</definedName>
    <definedName name="_xlnm._FilterDatabase" localSheetId="7" hidden="1">SCN_STEPS_GENERATOR!$D$5:$AC$5</definedName>
    <definedName name="_xlnm._FilterDatabase" localSheetId="2" hidden="1">SUBFUNC_MASTER!$D$4:$I$5</definedName>
    <definedName name="_xlnm._FilterDatabase" localSheetId="3" hidden="1">SUBFUNC_STEPS!$D$5:$S$5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6" l="1"/>
  <c r="L1" i="6" s="1"/>
  <c r="B7" i="19"/>
  <c r="B7" i="16"/>
  <c r="N1" i="16" s="1"/>
  <c r="B7" i="17" l="1"/>
  <c r="M1" i="17" s="1"/>
  <c r="B7" i="15"/>
  <c r="N1" i="15" s="1"/>
  <c r="B7" i="14"/>
  <c r="J1" i="14" s="1"/>
  <c r="B7" i="13"/>
  <c r="B7" i="12"/>
  <c r="L1" i="12" s="1"/>
  <c r="B7" i="11" l="1"/>
  <c r="N1" i="11" s="1"/>
  <c r="B7" i="10"/>
  <c r="J1" i="10" s="1"/>
  <c r="B7" i="8"/>
  <c r="J1" i="8" s="1"/>
</calcChain>
</file>

<file path=xl/sharedStrings.xml><?xml version="1.0" encoding="utf-8"?>
<sst xmlns="http://schemas.openxmlformats.org/spreadsheetml/2006/main" count="2164" uniqueCount="222">
  <si>
    <t>RUNMODE</t>
  </si>
  <si>
    <t>Y</t>
  </si>
  <si>
    <t>ACTION</t>
  </si>
  <si>
    <t>N</t>
  </si>
  <si>
    <t>LIST_ID</t>
  </si>
  <si>
    <t>NAME</t>
  </si>
  <si>
    <t>DROPDOWN_VALUES</t>
  </si>
  <si>
    <t>DEFAULT_VALUE</t>
  </si>
  <si>
    <t>SKIP_SS</t>
  </si>
  <si>
    <t>Y,N</t>
  </si>
  <si>
    <t>SKIP_STEP</t>
  </si>
  <si>
    <t>HARD_ASSERT</t>
  </si>
  <si>
    <t>KEYWORD</t>
  </si>
  <si>
    <t>OR_TYPE</t>
  </si>
  <si>
    <t>REQUEST_TYPE</t>
  </si>
  <si>
    <t>GET,POST,PUT</t>
  </si>
  <si>
    <t>E</t>
  </si>
  <si>
    <t>OR_ID</t>
  </si>
  <si>
    <t>SCREEN_NAME</t>
  </si>
  <si>
    <t>FIELD_NAME</t>
  </si>
  <si>
    <t>TYPE</t>
  </si>
  <si>
    <t>LOCATOR</t>
  </si>
  <si>
    <t>D</t>
  </si>
  <si>
    <t>C</t>
  </si>
  <si>
    <t>FUNC_ID</t>
  </si>
  <si>
    <t>FUNC_NAME</t>
  </si>
  <si>
    <t>Testing1</t>
  </si>
  <si>
    <t>dataLabel</t>
  </si>
  <si>
    <t>deleteFlag</t>
  </si>
  <si>
    <t>totRows</t>
  </si>
  <si>
    <t>cancelStatus</t>
  </si>
  <si>
    <t>dataSaveFlag</t>
  </si>
  <si>
    <t>selExcelRow</t>
  </si>
  <si>
    <t>SelTblRow</t>
  </si>
  <si>
    <t>SUBFUNC_ID</t>
  </si>
  <si>
    <t>SUBFUNC_NAME</t>
  </si>
  <si>
    <t>MAP_ID</t>
  </si>
  <si>
    <t>SCN_ID</t>
  </si>
  <si>
    <t>FUNC_SEQUENCE</t>
  </si>
  <si>
    <t>SUBFUNC_SEQUENCE</t>
  </si>
  <si>
    <t>ITERATION</t>
  </si>
  <si>
    <t>ITERATION_SEQUENCE</t>
  </si>
  <si>
    <t>REMARKS</t>
  </si>
  <si>
    <t>datalabel</t>
  </si>
  <si>
    <t>FNSTEP_ID</t>
  </si>
  <si>
    <t>STEP_ID</t>
  </si>
  <si>
    <t>STEP_DESCRIPTION</t>
  </si>
  <si>
    <t>dataLable</t>
  </si>
  <si>
    <t>subFuncId</t>
  </si>
  <si>
    <t>VARIABLE_NAME</t>
  </si>
  <si>
    <t>DATA</t>
  </si>
  <si>
    <t>COMMON_ID</t>
  </si>
  <si>
    <t>API_ID</t>
  </si>
  <si>
    <t>URI</t>
  </si>
  <si>
    <t>VARIABLES</t>
  </si>
  <si>
    <t>AUTH_TYPE</t>
  </si>
  <si>
    <t>AUTH_DATA</t>
  </si>
  <si>
    <t>HEADER_DATA</t>
  </si>
  <si>
    <t>REQUEST_BODY_DATA</t>
  </si>
  <si>
    <t>RESPONSE_VERIFICATION</t>
  </si>
  <si>
    <t>RESPONSE_RETRIEVE</t>
  </si>
  <si>
    <t>BATCH_ID</t>
  </si>
  <si>
    <t>SEQUENCE</t>
  </si>
  <si>
    <t>SUB_FUNC_ID</t>
  </si>
  <si>
    <t>SCN_DESCRIPTION</t>
  </si>
  <si>
    <t>TAG</t>
  </si>
  <si>
    <t>RUNID</t>
  </si>
  <si>
    <t>DATASET_ID</t>
  </si>
  <si>
    <t>EXECUTE</t>
  </si>
  <si>
    <t>EXECUTED_BY</t>
  </si>
  <si>
    <t>DATA_01</t>
  </si>
  <si>
    <t>DATA_02</t>
  </si>
  <si>
    <t>Regression,Sanity,Smoke</t>
  </si>
  <si>
    <t>EXECUTION_SEQUENCE</t>
  </si>
  <si>
    <t>EMPTY</t>
  </si>
  <si>
    <t>DATA_01,DATA_02</t>
  </si>
  <si>
    <t>input,retrieve,verify,api</t>
  </si>
  <si>
    <t>button,textbox,text,listbox,dropdown,url,menu,search,enterOtp,otp,deviationapp</t>
  </si>
  <si>
    <t>x</t>
  </si>
  <si>
    <t>VAR:retrieveOTP</t>
  </si>
  <si>
    <t>VAR:outstandingamt</t>
  </si>
  <si>
    <t>64 Months</t>
  </si>
  <si>
    <t>AA2336450004</t>
  </si>
  <si>
    <t>5.00%</t>
  </si>
  <si>
    <t>300,000.00</t>
  </si>
  <si>
    <t>CD:IB_user2&gt;&gt;retrieveOTP</t>
  </si>
  <si>
    <t>CD:CAS_URL</t>
  </si>
  <si>
    <t>No</t>
  </si>
  <si>
    <t>ABU DHABI</t>
  </si>
  <si>
    <t>VAR:appid</t>
  </si>
  <si>
    <t>VAR:appname</t>
  </si>
  <si>
    <t>Mother</t>
  </si>
  <si>
    <t>UAE</t>
  </si>
  <si>
    <t>******Data saved successfully</t>
  </si>
  <si>
    <t>RESIDENCE ADDRESS</t>
  </si>
  <si>
    <t>RENTED</t>
  </si>
  <si>
    <t>1245</t>
  </si>
  <si>
    <t>ABUDHABI</t>
  </si>
  <si>
    <t>2</t>
  </si>
  <si>
    <t>YES</t>
  </si>
  <si>
    <t>3</t>
  </si>
  <si>
    <t>5</t>
  </si>
  <si>
    <t>EMAIL</t>
  </si>
  <si>
    <t>OFFICE / BUSINESS ADDRESS</t>
  </si>
  <si>
    <t>NO</t>
  </si>
  <si>
    <t>SERVICES</t>
  </si>
  <si>
    <t>CONFIRMED</t>
  </si>
  <si>
    <t>25/02/2020</t>
  </si>
  <si>
    <t>BANKING</t>
  </si>
  <si>
    <t>AC ENGINEER</t>
  </si>
  <si>
    <t>22231</t>
  </si>
  <si>
    <t>BASIC MONTHLY INCOME</t>
  </si>
  <si>
    <t>20000</t>
  </si>
  <si>
    <t>Your request for Application ID {{VAR:appid}} has been processed successfully.</t>
  </si>
  <si>
    <t>VAR:appid&gt;&gt;Underwriting</t>
  </si>
  <si>
    <t>PRIMARY APPLICANT</t>
  </si>
  <si>
    <t>AA</t>
  </si>
  <si>
    <t>UnderWriter</t>
  </si>
  <si>
    <t>50</t>
  </si>
  <si>
    <t>APPROVE</t>
  </si>
  <si>
    <t>FORWARD</t>
  </si>
  <si>
    <t>LEVEL 1</t>
  </si>
  <si>
    <t>FORWARD FOR APPROVAL</t>
  </si>
  <si>
    <t>Forwarded for approval</t>
  </si>
  <si>
    <t>CD:CAS_user2</t>
  </si>
  <si>
    <t>CD:CAS_pwd2</t>
  </si>
  <si>
    <t>UND - APPROVE WITH DEVIATION</t>
  </si>
  <si>
    <t>Aprroved with deviation</t>
  </si>
  <si>
    <t>VAR:appid&gt;&gt;Post Sanc Doc</t>
  </si>
  <si>
    <t>VAR:custnumber</t>
  </si>
  <si>
    <t>CD:IB_URL</t>
  </si>
  <si>
    <t>CD:CAS_user1</t>
  </si>
  <si>
    <t>CD:CAS_pwd1</t>
  </si>
  <si>
    <t>HOME</t>
  </si>
  <si>
    <t>VAR:appid&gt;&gt;Document Collection</t>
  </si>
  <si>
    <t>CD:T24_URL</t>
  </si>
  <si>
    <t>?10</t>
  </si>
  <si>
    <t>Txn Complete:</t>
  </si>
  <si>
    <t>VAR:accountno</t>
  </si>
  <si>
    <t>AED</t>
  </si>
  <si>
    <t>VAR:appid&gt;&gt;Disbursal Detail</t>
  </si>
  <si>
    <t>Disbursal</t>
  </si>
  <si>
    <t>VAR:appid&gt;&gt;Disbursal Initiation</t>
  </si>
  <si>
    <t>VAR:aanumber</t>
  </si>
  <si>
    <t>?752</t>
  </si>
  <si>
    <t>VAR:loanaccount</t>
  </si>
  <si>
    <t>VAR:newaanumber</t>
  </si>
  <si>
    <t>Conventional</t>
  </si>
  <si>
    <t>ABU DHABI (1)</t>
  </si>
  <si>
    <t>MORTGAGE LOANS - RESIDENTIAL</t>
  </si>
  <si>
    <t>0512454578</t>
  </si>
  <si>
    <t>FABM-FIRST ABU DHABI BANK</t>
  </si>
  <si>
    <t>AE710351001002006778017</t>
  </si>
  <si>
    <t>FAB CONV UAT - BNK</t>
  </si>
  <si>
    <t>CD:T24_user1</t>
  </si>
  <si>
    <t>Retail &gt;&gt; Intray &gt;&gt; Property Loan</t>
  </si>
  <si>
    <t>DEFERRED</t>
  </si>
  <si>
    <t>FORM:date(VAR:appdate,5)</t>
  </si>
  <si>
    <t>Document Collection</t>
  </si>
  <si>
    <t>CD:T24_user3</t>
  </si>
  <si>
    <t>CD:T24_user4</t>
  </si>
  <si>
    <t>CD:IB_user1</t>
  </si>
  <si>
    <t>CD:IB_pwd1</t>
  </si>
  <si>
    <t>CD:IB_user1&gt;&gt;retrieveOTP</t>
  </si>
  <si>
    <t>AA2334912015</t>
  </si>
  <si>
    <t>2.00%</t>
  </si>
  <si>
    <t>36 Months</t>
  </si>
  <si>
    <t>FORM:randString(6)</t>
  </si>
  <si>
    <t>HE</t>
  </si>
  <si>
    <t>MALE</t>
  </si>
  <si>
    <t>ENGINEER</t>
  </si>
  <si>
    <t>20/12/2027</t>
  </si>
  <si>
    <t>20/10/2025</t>
  </si>
  <si>
    <t>SALARIED</t>
  </si>
  <si>
    <t>E1 - REGULAR</t>
  </si>
  <si>
    <t>L</t>
  </si>
  <si>
    <t>None</t>
  </si>
  <si>
    <t>142</t>
  </si>
  <si>
    <t>ALT</t>
  </si>
  <si>
    <t>VAR:appdate</t>
  </si>
  <si>
    <t>Retail &gt;&gt; Intray &gt;&gt; Credit Card &gt;&gt; New Application</t>
  </si>
  <si>
    <t>17/11/2023</t>
  </si>
  <si>
    <t>FAB CASHBACK CREDIT CARD</t>
  </si>
  <si>
    <t>DEPO</t>
  </si>
  <si>
    <t>200000</t>
  </si>
  <si>
    <t>01/08/2023</t>
  </si>
  <si>
    <t>FABS1126</t>
  </si>
  <si>
    <t>FORM:randAlphaNum(12)</t>
  </si>
  <si>
    <t>784198518608000</t>
  </si>
  <si>
    <t>15/01/1995</t>
  </si>
  <si>
    <t>Yes</t>
  </si>
  <si>
    <t>12/10/2023</t>
  </si>
  <si>
    <t>0245784</t>
  </si>
  <si>
    <t>testfab@gmail.com</t>
  </si>
  <si>
    <t>0457854</t>
  </si>
  <si>
    <t>AL DHAFRA PIPE LINE</t>
  </si>
  <si>
    <t>QUARTERLY</t>
  </si>
  <si>
    <t>45000</t>
  </si>
  <si>
    <t>SAVINGS</t>
  </si>
  <si>
    <t>AE920351031186000710002</t>
  </si>
  <si>
    <t>CENTRAL BANK OF UAE</t>
  </si>
  <si>
    <t>01</t>
  </si>
  <si>
    <t>01_Primary</t>
  </si>
  <si>
    <t>Joint</t>
  </si>
  <si>
    <t>Master</t>
  </si>
  <si>
    <t>FAB CASHBACK CC</t>
  </si>
  <si>
    <t>FAB CASHBACK - BANKING</t>
  </si>
  <si>
    <t>TESTING</t>
  </si>
  <si>
    <t>CREDIT</t>
  </si>
  <si>
    <t>VAR:appid&gt;&gt;CAD Document Collection</t>
  </si>
  <si>
    <t>VAR:appid&gt;&gt;FI Verification Detail</t>
  </si>
  <si>
    <t>Answered &amp; Provided Full Information</t>
  </si>
  <si>
    <t>OK</t>
  </si>
  <si>
    <t>POSITIVE</t>
  </si>
  <si>
    <t>GOOD BANKING</t>
  </si>
  <si>
    <t xml:space="preserve">Retail &gt;&gt; Intray &gt;&gt; Credit Card </t>
  </si>
  <si>
    <t>CD:IB_user1&gt;&gt;OTP</t>
  </si>
  <si>
    <t>VAR:OTP</t>
  </si>
  <si>
    <t>CD:Cyclos_Url</t>
  </si>
  <si>
    <t>CD:User_id</t>
  </si>
  <si>
    <t>CD:Password</t>
  </si>
  <si>
    <t>SFN_007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</si>
</sst>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1.5"/>
      <color rgb="FFA31515"/>
      <name val="Calibri"/>
      <family val="2"/>
      <scheme val="minor"/>
    </font>
    <font>
      <sz val="5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0.5"/>
      <color rgb="FFA31515"/>
      <name val="Consolas"/>
      <family val="3"/>
    </font>
    <font>
      <sz val="8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A31515"/>
      <name val="Calibri"/>
      <family val="2"/>
      <scheme val="minor"/>
    </font>
    <font>
      <sz val="11"/>
      <color rgb="FFA31515"/>
      <name val="Calibri"/>
      <family val="2"/>
      <scheme val="minor"/>
    </font>
    <font>
      <sz val="11"/>
      <color rgb="FFA31515"/>
      <name val="Consolas"/>
      <family val="3"/>
    </font>
    <font>
      <sz val="11"/>
      <color rgb="FF0A0908"/>
      <name val="Consolas"/>
      <family val="3"/>
    </font>
    <font>
      <b/>
      <i/>
      <sz val="11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F161D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DDD9C4"/>
        <bgColor indexed="64"/>
      </patternFill>
    </fill>
    <fill>
      <patternFill patternType="solid">
        <fgColor rgb="FFE3E8E8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FFF99"/>
        <bgColor indexed="64"/>
      </patternFill>
    </fill>
  </fills>
  <borders count="15">
    <border>
      <left/>
      <right/>
      <top/>
      <bottom/>
      <diagonal/>
    </border>
    <border>
      <left/>
      <right style="thin">
        <color rgb="FFDEE2E6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medium">
        <color rgb="FF01B1A3"/>
      </top>
      <bottom/>
      <diagonal/>
    </border>
    <border>
      <left style="thin">
        <color rgb="FFDEE2E6"/>
      </left>
      <right/>
      <top style="medium">
        <color rgb="FF01B1A3"/>
      </top>
      <bottom/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 style="medium">
        <color rgb="FF01B1A3"/>
      </bottom>
      <diagonal/>
    </border>
    <border>
      <left style="medium">
        <color rgb="FFDEE2E6"/>
      </left>
      <right/>
      <top/>
      <bottom/>
      <diagonal/>
    </border>
    <border>
      <left style="thin">
        <color rgb="FFDEE2E6"/>
      </left>
      <right/>
      <top/>
      <bottom style="medium">
        <color rgb="FF01B1A3"/>
      </bottom>
      <diagonal/>
    </border>
    <border>
      <left/>
      <right/>
      <top/>
      <bottom style="medium">
        <color rgb="FF01B1A3"/>
      </bottom>
      <diagonal/>
    </border>
    <border>
      <left/>
      <right style="thin">
        <color rgb="FFDEE2E6"/>
      </right>
      <top style="thin">
        <color rgb="FFDEE2E6"/>
      </top>
      <bottom style="medium">
        <color rgb="FF01B1A3"/>
      </bottom>
      <diagonal/>
    </border>
    <border>
      <left style="thin">
        <color rgb="FFDEE2E6"/>
      </left>
      <right style="thin">
        <color rgb="FFDEE2E6"/>
      </right>
      <top style="thin">
        <color rgb="FFDEE2E6"/>
      </top>
      <bottom style="medium">
        <color rgb="FF01B1A3"/>
      </bottom>
      <diagonal/>
    </border>
    <border>
      <left style="thin">
        <color rgb="FFCED4DA"/>
      </left>
      <right style="thin">
        <color rgb="FFCED4DA"/>
      </right>
      <top style="thin">
        <color rgb="FFCED4DA"/>
      </top>
      <bottom style="thin">
        <color rgb="FFCED4DA"/>
      </bottom>
      <diagonal/>
    </border>
    <border>
      <left style="medium">
        <color rgb="FFDEE2E6"/>
      </left>
      <right style="medium">
        <color rgb="FFDEE2E6"/>
      </right>
      <top/>
      <bottom style="medium">
        <color rgb="FF01B1A3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2">
    <xf numFmtId="0" fontId="0" fillId="0" borderId="0"/>
    <xf numFmtId="0" fontId="2" fillId="0" borderId="0"/>
  </cellStyleXfs>
  <cellXfs count="46">
    <xf numFmtId="0" fontId="0" fillId="0" borderId="0" xfId="0"/>
    <xf numFmtId="0" fontId="0" fillId="2" borderId="0" xfId="0" applyFill="1"/>
    <xf numFmtId="0" fontId="4" fillId="0" borderId="0" xfId="1" applyFont="1" applyAlignment="1">
      <alignment vertical="center"/>
    </xf>
    <xf numFmtId="0" fontId="0" fillId="0" borderId="0" xfId="0" applyAlignment="1">
      <alignment wrapText="1"/>
    </xf>
    <xf numFmtId="0" fontId="0" fillId="2" borderId="2" xfId="0" applyFill="1" applyBorder="1"/>
    <xf numFmtId="0" fontId="0" fillId="2" borderId="3" xfId="0" applyFill="1" applyBorder="1"/>
    <xf numFmtId="0" fontId="3" fillId="3" borderId="1" xfId="0" applyFont="1" applyFill="1" applyBorder="1" applyAlignment="1">
      <alignment horizontal="center" vertical="center"/>
    </xf>
    <xf numFmtId="0" fontId="4" fillId="0" borderId="4" xfId="1" applyFont="1" applyBorder="1" applyAlignment="1">
      <alignment vertical="center"/>
    </xf>
    <xf numFmtId="0" fontId="5" fillId="0" borderId="4" xfId="1" applyFont="1" applyBorder="1" applyAlignment="1">
      <alignment vertical="center"/>
    </xf>
    <xf numFmtId="0" fontId="1" fillId="2" borderId="0" xfId="0" applyFont="1" applyFill="1" applyProtection="1">
      <protection locked="0"/>
    </xf>
    <xf numFmtId="0" fontId="0" fillId="0" borderId="0" xfId="0" applyProtection="1">
      <protection locked="0"/>
    </xf>
    <xf numFmtId="0" fontId="6" fillId="4" borderId="5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 wrapText="1"/>
    </xf>
    <xf numFmtId="0" fontId="8" fillId="0" borderId="0" xfId="1" applyFont="1" applyAlignment="1">
      <alignment horizontal="right"/>
    </xf>
    <xf numFmtId="0" fontId="9" fillId="0" borderId="0" xfId="0" applyFont="1" applyProtection="1">
      <protection locked="0"/>
    </xf>
    <xf numFmtId="0" fontId="12" fillId="0" borderId="0" xfId="0" applyFont="1" applyAlignment="1" applyProtection="1">
      <alignment horizontal="right" vertical="center" indent="1"/>
      <protection locked="0"/>
    </xf>
    <xf numFmtId="0" fontId="0" fillId="0" borderId="0" xfId="0" applyAlignment="1">
      <alignment horizontal="right" indent="1"/>
    </xf>
    <xf numFmtId="0" fontId="11" fillId="0" borderId="0" xfId="0" applyFont="1" applyAlignment="1" applyProtection="1">
      <alignment horizontal="left" vertical="center" indent="1"/>
      <protection locked="0"/>
    </xf>
    <xf numFmtId="0" fontId="0" fillId="0" borderId="0" xfId="0" applyAlignment="1" applyProtection="1">
      <alignment horizontal="left" vertical="center" indent="1"/>
      <protection locked="0"/>
    </xf>
    <xf numFmtId="0" fontId="0" fillId="0" borderId="0" xfId="0" applyAlignment="1">
      <alignment horizontal="left" indent="1"/>
    </xf>
    <xf numFmtId="0" fontId="10" fillId="5" borderId="6" xfId="0" applyFont="1" applyFill="1" applyBorder="1" applyAlignment="1">
      <alignment horizontal="center" vertical="center"/>
    </xf>
    <xf numFmtId="0" fontId="0" fillId="0" borderId="7" xfId="0" applyBorder="1"/>
    <xf numFmtId="0" fontId="3" fillId="5" borderId="8" xfId="0" applyFont="1" applyFill="1" applyBorder="1" applyAlignment="1">
      <alignment horizontal="left" vertical="center"/>
    </xf>
    <xf numFmtId="0" fontId="3" fillId="5" borderId="9" xfId="0" applyFont="1" applyFill="1" applyBorder="1" applyAlignment="1">
      <alignment horizontal="left" vertical="center"/>
    </xf>
    <xf numFmtId="0" fontId="10" fillId="5" borderId="10" xfId="0" applyFont="1" applyFill="1" applyBorder="1" applyAlignment="1">
      <alignment horizontal="center" vertical="center"/>
    </xf>
    <xf numFmtId="0" fontId="10" fillId="5" borderId="11" xfId="0" applyFont="1" applyFill="1" applyBorder="1" applyAlignment="1">
      <alignment horizontal="center" vertical="center"/>
    </xf>
    <xf numFmtId="0" fontId="13" fillId="0" borderId="12" xfId="0" applyFont="1" applyBorder="1" applyAlignment="1">
      <alignment horizontal="left" vertical="center" indent="1"/>
    </xf>
    <xf numFmtId="0" fontId="14" fillId="0" borderId="0" xfId="1" applyFont="1" applyAlignment="1">
      <alignment horizontal="right"/>
    </xf>
    <xf numFmtId="0" fontId="14" fillId="0" borderId="0" xfId="1" applyFont="1" applyAlignment="1">
      <alignment horizontal="left"/>
    </xf>
    <xf numFmtId="0" fontId="14" fillId="0" borderId="0" xfId="0" applyFont="1" applyAlignment="1">
      <alignment horizontal="right"/>
    </xf>
    <xf numFmtId="0" fontId="12" fillId="0" borderId="0" xfId="0" applyFont="1" applyAlignment="1" applyProtection="1">
      <alignment horizontal="right" vertical="center"/>
      <protection locked="0"/>
    </xf>
    <xf numFmtId="0" fontId="11" fillId="0" borderId="0" xfId="0" applyFont="1" applyAlignment="1" applyProtection="1">
      <alignment horizontal="left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0" fontId="9" fillId="0" borderId="0" xfId="0" applyFont="1"/>
    <xf numFmtId="0" fontId="13" fillId="0" borderId="12" xfId="0" applyFont="1" applyBorder="1" applyAlignment="1">
      <alignment horizontal="left" vertical="center" wrapText="1"/>
    </xf>
    <xf numFmtId="0" fontId="13" fillId="4" borderId="12" xfId="0" applyFont="1" applyFill="1" applyBorder="1" applyAlignment="1">
      <alignment horizontal="left" vertical="center" indent="1"/>
    </xf>
    <xf numFmtId="0" fontId="13" fillId="3" borderId="12" xfId="0" applyFont="1" applyFill="1" applyBorder="1" applyAlignment="1">
      <alignment horizontal="left" vertical="center" indent="1"/>
    </xf>
    <xf numFmtId="0" fontId="13" fillId="3" borderId="12" xfId="0" applyFont="1" applyFill="1" applyBorder="1" applyAlignment="1">
      <alignment horizontal="left" vertical="center" wrapText="1"/>
    </xf>
    <xf numFmtId="0" fontId="10" fillId="5" borderId="13" xfId="0" applyFont="1" applyFill="1" applyBorder="1" applyAlignment="1">
      <alignment horizontal="center" vertical="center"/>
    </xf>
    <xf numFmtId="0" fontId="13" fillId="6" borderId="14" xfId="0" applyFont="1" applyFill="1" applyBorder="1" applyAlignment="1" applyProtection="1">
      <alignment horizontal="left" vertical="center" indent="1"/>
      <protection locked="0"/>
    </xf>
    <xf numFmtId="0" fontId="14" fillId="0" borderId="0" xfId="0" applyFont="1" applyAlignment="1">
      <alignment horizontal="left"/>
    </xf>
    <xf numFmtId="0" fontId="3" fillId="5" borderId="13" xfId="0" applyFont="1" applyFill="1" applyBorder="1" applyAlignment="1">
      <alignment horizontal="center" vertical="center"/>
    </xf>
    <xf numFmtId="0" fontId="13" fillId="7" borderId="12" xfId="0" applyFont="1" applyFill="1" applyBorder="1" applyAlignment="1" applyProtection="1">
      <alignment horizontal="left" vertical="center" indent="1"/>
      <protection locked="0"/>
    </xf>
    <xf numFmtId="0" fontId="13" fillId="7" borderId="12" xfId="0" applyFont="1" applyFill="1" applyBorder="1" applyAlignment="1">
      <alignment horizontal="left" vertical="center" indent="1"/>
    </xf>
    <xf numFmtId="0" fontId="13" fillId="0" borderId="14" xfId="0" applyFont="1" applyBorder="1" applyAlignment="1">
      <alignment horizontal="left" vertical="center" indent="1"/>
    </xf>
  </cellXfs>
  <cellStyles count="2">
    <cellStyle name="Normal" xfId="0" builtinId="0"/>
    <cellStyle name="Normal 2" xfId="1" xr:uid="{1D65D9C2-F3C3-4F40-8110-F4C1C9CA4518}"/>
  </cellStyles>
  <dxfs count="199"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alignment horizontal="left" vertical="center" textRotation="0" wrapText="1" indent="0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alignment horizontal="left" vertical="center" textRotation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alignment horizontal="left" vertical="center" textRotation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alignment horizontal="left" vertical="center" textRotation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alignment horizontal="left" vertical="center" textRotation="0" indent="1" justifyLastLine="0" shrinkToFit="0" readingOrder="0"/>
    </dxf>
    <dxf>
      <border outline="0">
        <top style="thin">
          <color rgb="FFA6A6A6"/>
        </top>
      </border>
    </dxf>
    <dxf>
      <border outline="0">
        <left style="thin">
          <color rgb="FFA6A6A6"/>
        </left>
        <right style="thin">
          <color rgb="FFA6A6A6"/>
        </right>
        <top style="thin">
          <color rgb="FFA6A6A6"/>
        </top>
        <bottom style="thin">
          <color rgb="FFA6A6A6"/>
        </bottom>
      </border>
    </dxf>
    <dxf>
      <border outline="0">
        <bottom style="thin">
          <color rgb="FFA6A6A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.5"/>
        <color rgb="FFA31515"/>
        <name val="Consolas"/>
        <family val="3"/>
        <scheme val="none"/>
      </font>
      <fill>
        <patternFill patternType="solid">
          <fgColor indexed="64"/>
          <bgColor rgb="FFDDD9C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A6A6A6"/>
        </left>
        <right style="thin">
          <color rgb="FFA6A6A6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border>
        <top style="thin">
          <color rgb="FFDEE2E6"/>
        </top>
      </border>
    </dxf>
    <dxf>
      <border diagonalUp="0" diagonalDown="0">
        <left style="thin">
          <color rgb="FFDEE2E6"/>
        </left>
        <right style="thin">
          <color rgb="FFDEE2E6"/>
        </right>
        <top style="thin">
          <color rgb="FFA6A6A6"/>
        </top>
        <bottom style="thin">
          <color rgb="FFDEE2E6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border>
        <bottom style="medium">
          <color rgb="FF01B1A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.5"/>
        <color rgb="FFA31515"/>
        <name val="Calibri"/>
        <family val="2"/>
        <scheme val="minor"/>
      </font>
      <fill>
        <patternFill patternType="solid">
          <fgColor indexed="64"/>
          <bgColor rgb="FFE3E8E8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/>
        <bottom/>
        <vertical style="medium">
          <color rgb="FFDEE2E6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solid">
          <fgColor indexed="64"/>
          <bgColor rgb="FFFFFF99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solid">
          <fgColor indexed="64"/>
          <bgColor rgb="FFFFFF99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solid">
          <fgColor indexed="64"/>
          <bgColor rgb="FFFFFF99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solid">
          <fgColor indexed="64"/>
          <bgColor rgb="FFFFFF99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solid">
          <fgColor indexed="64"/>
          <bgColor rgb="FFFFFF99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solid">
          <fgColor indexed="64"/>
          <bgColor rgb="FFFFFF99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solid">
          <fgColor indexed="64"/>
          <bgColor rgb="FFFFFF99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solid">
          <fgColor indexed="64"/>
          <bgColor rgb="FFFFFF99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solid">
          <fgColor indexed="64"/>
          <bgColor rgb="FFFFFF99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solid">
          <fgColor indexed="64"/>
          <bgColor rgb="FFFFFF99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solid">
          <fgColor indexed="64"/>
          <bgColor rgb="FFFFFF99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solid">
          <fgColor indexed="64"/>
          <bgColor rgb="FFFFFF99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0" hidden="0"/>
    </dxf>
    <dxf>
      <border>
        <top style="thin">
          <color rgb="FFDEE2E6"/>
        </top>
      </border>
    </dxf>
    <dxf>
      <border diagonalUp="0" diagonalDown="0">
        <left style="thin">
          <color rgb="FFDEE2E6"/>
        </left>
        <right style="thin">
          <color rgb="FFDEE2E6"/>
        </right>
        <top style="thin">
          <color rgb="FFA6A6A6"/>
        </top>
        <bottom style="thin">
          <color rgb="FFDEE2E6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solid">
          <fgColor indexed="64"/>
          <bgColor rgb="FFFFFF99"/>
        </patternFill>
      </fill>
      <alignment horizontal="left" vertical="center" textRotation="0" wrapText="0" indent="1" justifyLastLine="0" shrinkToFit="0" readingOrder="0"/>
      <protection locked="0" hidden="0"/>
    </dxf>
    <dxf>
      <border>
        <bottom style="medium">
          <color rgb="FF01B1A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.5"/>
        <color rgb="FFA31515"/>
        <name val="Calibri"/>
        <family val="2"/>
        <scheme val="minor"/>
      </font>
      <fill>
        <patternFill patternType="solid">
          <fgColor indexed="64"/>
          <bgColor rgb="FFE3E8E8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/>
        <bottom/>
        <vertical style="medium">
          <color rgb="FFDEE2E6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border>
        <top style="thin">
          <color rgb="FFDEE2E6"/>
        </top>
      </border>
    </dxf>
    <dxf>
      <border diagonalUp="0" diagonalDown="0">
        <left style="thin">
          <color rgb="FFDEE2E6"/>
        </left>
        <right style="thin">
          <color rgb="FFDEE2E6"/>
        </right>
        <top style="thin">
          <color rgb="FFA6A6A6"/>
        </top>
        <bottom style="thin">
          <color rgb="FFDEE2E6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border>
        <bottom style="medium">
          <color rgb="FF01B1A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.5"/>
        <color rgb="FFA31515"/>
        <name val="Calibri"/>
        <family val="2"/>
        <scheme val="minor"/>
      </font>
      <fill>
        <patternFill patternType="solid">
          <fgColor indexed="64"/>
          <bgColor rgb="FFE3E8E8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/>
        <bottom/>
        <vertical style="medium">
          <color rgb="FFDEE2E6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solid">
          <fgColor indexed="64"/>
          <bgColor rgb="FFC6E0B4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solid">
          <fgColor indexed="64"/>
          <bgColor rgb="FFC6E0B4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solid">
          <fgColor indexed="64"/>
          <bgColor rgb="FFC6E0B4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solid">
          <fgColor indexed="64"/>
          <bgColor rgb="FFC6E0B4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solid">
          <fgColor indexed="64"/>
          <bgColor rgb="FFC6E0B4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border>
        <top style="thin">
          <color rgb="FFDEE2E6"/>
        </top>
      </border>
    </dxf>
    <dxf>
      <border diagonalUp="0" diagonalDown="0">
        <left style="thin">
          <color rgb="FFDEE2E6"/>
        </left>
        <right style="thin">
          <color rgb="FFDEE2E6"/>
        </right>
        <top style="thin">
          <color rgb="FFA6A6A6"/>
        </top>
        <bottom style="thin">
          <color rgb="FFDEE2E6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border>
        <bottom style="medium">
          <color rgb="FF01B1A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.5"/>
        <color rgb="FFA31515"/>
        <name val="Calibri"/>
        <family val="2"/>
        <scheme val="minor"/>
      </font>
      <fill>
        <patternFill patternType="solid">
          <fgColor indexed="64"/>
          <bgColor rgb="FFE3E8E8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5" tint="0.39994506668294322"/>
        </left>
        <right style="thin">
          <color theme="5" tint="0.39994506668294322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border>
        <top style="thin">
          <color rgb="FFDEE2E6"/>
        </top>
      </border>
    </dxf>
    <dxf>
      <border diagonalUp="0" diagonalDown="0">
        <left style="thin">
          <color rgb="FFDEE2E6"/>
        </left>
        <right style="thin">
          <color rgb="FFDEE2E6"/>
        </right>
        <top style="thin">
          <color rgb="FFA6A6A6"/>
        </top>
        <bottom style="thin">
          <color rgb="FFDEE2E6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border>
        <bottom style="medium">
          <color rgb="FF01B1A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.5"/>
        <color rgb="FFA31515"/>
        <name val="Calibri"/>
        <family val="2"/>
        <scheme val="minor"/>
      </font>
      <fill>
        <patternFill patternType="solid">
          <fgColor indexed="64"/>
          <bgColor rgb="FFE3E8E8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5" tint="0.39994506668294322"/>
        </left>
        <right style="thin">
          <color theme="5" tint="0.39994506668294322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border>
        <top style="thin">
          <color rgb="FFDEE2E6"/>
        </top>
      </border>
    </dxf>
    <dxf>
      <border diagonalUp="0" diagonalDown="0">
        <left style="thin">
          <color rgb="FFDEE2E6"/>
        </left>
        <right style="thin">
          <color rgb="FFDEE2E6"/>
        </right>
        <top style="thin">
          <color rgb="FFA6A6A6"/>
        </top>
        <bottom style="thin">
          <color rgb="FFDEE2E6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border>
        <bottom style="medium">
          <color rgb="FF01B1A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.5"/>
        <color rgb="FFA31515"/>
        <name val="Calibri"/>
        <family val="2"/>
        <scheme val="minor"/>
      </font>
      <fill>
        <patternFill patternType="solid">
          <fgColor indexed="64"/>
          <bgColor rgb="FFE3E8E8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5" tint="0.39994506668294322"/>
        </left>
        <right style="thin">
          <color theme="5" tint="0.39994506668294322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border>
        <top style="thin">
          <color rgb="FFDEE2E6"/>
        </top>
      </border>
    </dxf>
    <dxf>
      <border diagonalUp="0" diagonalDown="0">
        <left style="thin">
          <color rgb="FFDEE2E6"/>
        </left>
        <right style="thin">
          <color rgb="FFDEE2E6"/>
        </right>
        <top style="thin">
          <color rgb="FFA6A6A6"/>
        </top>
        <bottom style="thin">
          <color rgb="FFDEE2E6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border>
        <bottom style="medium">
          <color rgb="FF01B1A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.5"/>
        <color rgb="FFA31515"/>
        <name val="Calibri"/>
        <family val="2"/>
        <scheme val="minor"/>
      </font>
      <fill>
        <patternFill patternType="solid">
          <fgColor indexed="64"/>
          <bgColor rgb="FFE3E8E8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5" tint="0.39994506668294322"/>
        </left>
        <right style="thin">
          <color theme="5" tint="0.39994506668294322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border>
        <top style="thin">
          <color rgb="FFDEE2E6"/>
        </top>
      </border>
    </dxf>
    <dxf>
      <border diagonalUp="0" diagonalDown="0">
        <left style="thin">
          <color rgb="FFDEE2E6"/>
        </left>
        <right style="thin">
          <color rgb="FFDEE2E6"/>
        </right>
        <top style="thin">
          <color rgb="FFA6A6A6"/>
        </top>
        <bottom style="thin">
          <color rgb="FFDEE2E6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border>
        <bottom style="medium">
          <color rgb="FF01B1A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.5"/>
        <color rgb="FFA31515"/>
        <name val="Calibri"/>
        <family val="2"/>
        <scheme val="minor"/>
      </font>
      <fill>
        <patternFill patternType="solid">
          <fgColor indexed="64"/>
          <bgColor rgb="FFE3E8E8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5" tint="0.39994506668294322"/>
        </left>
        <right style="thin">
          <color theme="5" tint="0.39994506668294322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border>
        <top style="thin">
          <color rgb="FFDEE2E6"/>
        </top>
      </border>
    </dxf>
    <dxf>
      <border diagonalUp="0" diagonalDown="0">
        <left style="thin">
          <color rgb="FFDEE2E6"/>
        </left>
        <right style="thin">
          <color rgb="FFDEE2E6"/>
        </right>
        <top style="thin">
          <color rgb="FFA6A6A6"/>
        </top>
        <bottom style="thin">
          <color rgb="FFDEE2E6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border>
        <bottom style="medium">
          <color rgb="FF01B1A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.5"/>
        <color rgb="FFA31515"/>
        <name val="Calibri"/>
        <family val="2"/>
        <scheme val="minor"/>
      </font>
      <fill>
        <patternFill patternType="solid">
          <fgColor indexed="64"/>
          <bgColor rgb="FFE3E8E8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/>
        <bottom/>
        <vertical style="medium">
          <color rgb="FFDEE2E6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border>
        <top style="thin">
          <color rgb="FFDEE2E6"/>
        </top>
      </border>
    </dxf>
    <dxf>
      <border diagonalUp="0" diagonalDown="0">
        <left style="thin">
          <color rgb="FFDEE2E6"/>
        </left>
        <right style="thin">
          <color rgb="FFDEE2E6"/>
        </right>
        <top style="thin">
          <color rgb="FFA6A6A6"/>
        </top>
        <bottom style="thin">
          <color rgb="FFDEE2E6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border>
        <bottom style="medium">
          <color rgb="FF01B1A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.5"/>
        <color rgb="FFA31515"/>
        <name val="Calibri"/>
        <family val="2"/>
        <scheme val="minor"/>
      </font>
      <fill>
        <patternFill patternType="solid">
          <fgColor indexed="64"/>
          <bgColor rgb="FFE3E8E8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/>
        <bottom/>
        <vertical style="medium">
          <color rgb="FFDEE2E6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solid">
          <fgColor indexed="64"/>
          <bgColor rgb="FFFFFF99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solid">
          <fgColor indexed="64"/>
          <bgColor rgb="FFFFFF99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solid">
          <fgColor indexed="64"/>
          <bgColor rgb="FFFFFF99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solid">
          <fgColor indexed="64"/>
          <bgColor rgb="FFFFFF99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solid">
          <fgColor indexed="64"/>
          <bgColor rgb="FFFFFF99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solid">
          <fgColor indexed="64"/>
          <bgColor rgb="FFFFFF99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solid">
          <fgColor indexed="64"/>
          <bgColor rgb="FFFFFF99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solid">
          <fgColor indexed="64"/>
          <bgColor rgb="FFFFFF99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solid">
          <fgColor indexed="64"/>
          <bgColor rgb="FFFFFF99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0" hidden="0"/>
    </dxf>
    <dxf>
      <border>
        <top style="thin">
          <color rgb="FFDEE2E6"/>
        </top>
      </border>
    </dxf>
    <dxf>
      <border diagonalUp="0" diagonalDown="0">
        <left style="thin">
          <color rgb="FFDEE2E6"/>
        </left>
        <right style="thin">
          <color rgb="FFDEE2E6"/>
        </right>
        <top style="thin">
          <color rgb="FFA6A6A6"/>
        </top>
        <bottom style="thin">
          <color rgb="FFDEE2E6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solid">
          <fgColor indexed="64"/>
          <bgColor rgb="FFFFFF99"/>
        </patternFill>
      </fill>
      <alignment horizontal="left" vertical="center" textRotation="0" wrapText="0" indent="1" justifyLastLine="0" shrinkToFit="0" readingOrder="0"/>
      <protection locked="0" hidden="0"/>
    </dxf>
    <dxf>
      <border>
        <bottom style="medium">
          <color rgb="FF01B1A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.5"/>
        <color rgb="FFA31515"/>
        <name val="Calibri"/>
        <family val="2"/>
        <scheme val="minor"/>
      </font>
      <fill>
        <patternFill patternType="solid">
          <fgColor indexed="64"/>
          <bgColor rgb="FFE3E8E8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5" tint="0.39994506668294322"/>
        </left>
        <right style="thin">
          <color theme="5" tint="0.39994506668294322"/>
        </right>
        <top/>
        <bottom/>
      </border>
    </dxf>
  </dxfs>
  <tableStyles count="0" defaultTableStyle="TableStyleMedium2" defaultPivotStyle="PivotStyleLight16"/>
  <colors>
    <mruColors>
      <color rgb="FF01B1A3"/>
      <color rgb="FFA31515"/>
      <color rgb="FFE3E8E8"/>
      <color rgb="FF57CC99"/>
      <color rgb="FF0F161D"/>
      <color rgb="FFDEE2E6"/>
      <color rgb="FFF8F9FA"/>
      <color rgb="FFCCE3DE"/>
      <color rgb="FFEAF4F4"/>
      <color rgb="FF0081A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9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9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1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1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15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15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11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png"/><Relationship Id="rId3" Type="http://schemas.openxmlformats.org/officeDocument/2006/relationships/image" Target="../media/image3.png"/><Relationship Id="rId7" Type="http://schemas.openxmlformats.org/officeDocument/2006/relationships/image" Target="../media/image15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11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13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png"/><Relationship Id="rId1" Type="http://schemas.openxmlformats.org/officeDocument/2006/relationships/image" Target="../media/image4.png"/><Relationship Id="rId4" Type="http://schemas.openxmlformats.org/officeDocument/2006/relationships/image" Target="../media/image11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9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png"/><Relationship Id="rId3" Type="http://schemas.openxmlformats.org/officeDocument/2006/relationships/image" Target="../media/image3.png"/><Relationship Id="rId7" Type="http://schemas.openxmlformats.org/officeDocument/2006/relationships/image" Target="../media/image21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9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9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3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43350</xdr:colOff>
      <xdr:row>4</xdr:row>
      <xdr:rowOff>14775</xdr:rowOff>
    </xdr:from>
    <xdr:to>
      <xdr:col>3</xdr:col>
      <xdr:colOff>223350</xdr:colOff>
      <xdr:row>4</xdr:row>
      <xdr:rowOff>194775</xdr:rowOff>
    </xdr:to>
    <xdr:pic macro="[0]!orDelete">
      <xdr:nvPicPr>
        <xdr:cNvPr id="2" name="btnDelete" hidden="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2425" y="118635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4</xdr:col>
      <xdr:colOff>43350</xdr:colOff>
      <xdr:row>4</xdr:row>
      <xdr:rowOff>14775</xdr:rowOff>
    </xdr:from>
    <xdr:to>
      <xdr:col>4</xdr:col>
      <xdr:colOff>223350</xdr:colOff>
      <xdr:row>4</xdr:row>
      <xdr:rowOff>194775</xdr:rowOff>
    </xdr:to>
    <xdr:pic macro="[0]!orEdit">
      <xdr:nvPicPr>
        <xdr:cNvPr id="3" name="btnEdit" hidden="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9125" y="118635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5</xdr:col>
      <xdr:colOff>43350</xdr:colOff>
      <xdr:row>8</xdr:row>
      <xdr:rowOff>14775</xdr:rowOff>
    </xdr:from>
    <xdr:to>
      <xdr:col>5</xdr:col>
      <xdr:colOff>223350</xdr:colOff>
      <xdr:row>8</xdr:row>
      <xdr:rowOff>194775</xdr:rowOff>
    </xdr:to>
    <xdr:pic macro="[0]!orCancel">
      <xdr:nvPicPr>
        <xdr:cNvPr id="5" name="btnCancel" hidden="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95825" y="202455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2</xdr:col>
      <xdr:colOff>95250</xdr:colOff>
      <xdr:row>0</xdr:row>
      <xdr:rowOff>47625</xdr:rowOff>
    </xdr:from>
    <xdr:to>
      <xdr:col>8</xdr:col>
      <xdr:colOff>1443470</xdr:colOff>
      <xdr:row>0</xdr:row>
      <xdr:rowOff>355600</xdr:rowOff>
    </xdr:to>
    <xdr:sp macro="" textlink="">
      <xdr:nvSpPr>
        <xdr:cNvPr id="6" name="txtHeader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95250" y="47625"/>
          <a:ext cx="2367395" cy="307975"/>
        </a:xfrm>
        <a:prstGeom prst="rect">
          <a:avLst/>
        </a:prstGeom>
        <a:solidFill>
          <a:srgbClr val="0F161D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N" sz="1600">
              <a:solidFill>
                <a:schemeClr val="bg1"/>
              </a:solidFill>
              <a:latin typeface="+mn-lt"/>
              <a:cs typeface="Segoe UI Semibold" panose="020B0702040204020203" pitchFamily="34" charset="0"/>
            </a:rPr>
            <a:t>OBJECT REPOSITORY</a:t>
          </a:r>
        </a:p>
      </xdr:txBody>
    </xdr:sp>
    <xdr:clientData fPrintsWithSheet="0"/>
  </xdr:twoCellAnchor>
  <xdr:twoCellAnchor editAs="absolute">
    <xdr:from>
      <xdr:col>8</xdr:col>
      <xdr:colOff>374649</xdr:colOff>
      <xdr:row>0</xdr:row>
      <xdr:rowOff>428509</xdr:rowOff>
    </xdr:from>
    <xdr:to>
      <xdr:col>9</xdr:col>
      <xdr:colOff>467591</xdr:colOff>
      <xdr:row>0</xdr:row>
      <xdr:rowOff>733309</xdr:rowOff>
    </xdr:to>
    <xdr:sp macro="" textlink="$B$5">
      <xdr:nvSpPr>
        <xdr:cNvPr id="7" name="dataLabel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1393824" y="428509"/>
          <a:ext cx="2740892" cy="304800"/>
        </a:xfrm>
        <a:prstGeom prst="rect">
          <a:avLst/>
        </a:prstGeom>
        <a:solidFill>
          <a:sysClr val="window" lastClr="FFFFFF"/>
        </a:solidFill>
        <a:ln w="9525" cmpd="sng">
          <a:solidFill>
            <a:schemeClr val="bg1">
              <a:lumMod val="8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BD1D6A0C-14C8-40A9-8825-A0FA31350970}" type="TxLink">
            <a:rPr lang="en-US" sz="1500" b="0" i="0" u="none" strike="noStrike">
              <a:solidFill>
                <a:schemeClr val="tx1">
                  <a:lumMod val="85000"/>
                  <a:lumOff val="15000"/>
                </a:schemeClr>
              </a:solidFill>
              <a:effectLst/>
              <a:latin typeface="Calibri"/>
              <a:ea typeface="Calibri"/>
              <a:cs typeface="Calibri"/>
            </a:rPr>
            <a:pPr algn="l"/>
            <a:t> </a:t>
          </a:fld>
          <a:endParaRPr lang="en-US" sz="1500" b="0" i="0" u="none" strike="noStrike">
            <a:solidFill>
              <a:schemeClr val="tx1">
                <a:lumMod val="85000"/>
                <a:lumOff val="15000"/>
              </a:schemeClr>
            </a:solidFill>
            <a:effectLst/>
            <a:latin typeface="+mn-lt"/>
            <a:ea typeface="Calibri"/>
            <a:cs typeface="Segoe UI Semilight" panose="020B0402040204020203" pitchFamily="34" charset="0"/>
          </a:endParaRPr>
        </a:p>
      </xdr:txBody>
    </xdr:sp>
    <xdr:clientData fPrintsWithSheet="0"/>
  </xdr:twoCellAnchor>
  <xdr:twoCellAnchor editAs="absolute">
    <xdr:from>
      <xdr:col>2</xdr:col>
      <xdr:colOff>28575</xdr:colOff>
      <xdr:row>0</xdr:row>
      <xdr:rowOff>428974</xdr:rowOff>
    </xdr:from>
    <xdr:to>
      <xdr:col>8</xdr:col>
      <xdr:colOff>365243</xdr:colOff>
      <xdr:row>0</xdr:row>
      <xdr:rowOff>732845</xdr:rowOff>
    </xdr:to>
    <xdr:sp macro="" textlink="">
      <xdr:nvSpPr>
        <xdr:cNvPr id="8" name="txtLabel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28575" y="428974"/>
          <a:ext cx="1355843" cy="30387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bg1">
              <a:lumMod val="8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IN" sz="1400" b="0">
              <a:latin typeface="+mj-lt"/>
              <a:cs typeface="Segoe UI Semilight" panose="020B0402040204020203" pitchFamily="34" charset="0"/>
            </a:rPr>
            <a:t>SCREEN NAME :</a:t>
          </a:r>
        </a:p>
      </xdr:txBody>
    </xdr:sp>
    <xdr:clientData fPrintsWithSheet="0"/>
  </xdr:twoCellAnchor>
  <xdr:twoCellAnchor editAs="absolute">
    <xdr:from>
      <xdr:col>8</xdr:col>
      <xdr:colOff>1676400</xdr:colOff>
      <xdr:row>0</xdr:row>
      <xdr:rowOff>69850</xdr:rowOff>
    </xdr:from>
    <xdr:to>
      <xdr:col>8</xdr:col>
      <xdr:colOff>2576513</xdr:colOff>
      <xdr:row>0</xdr:row>
      <xdr:rowOff>321881</xdr:rowOff>
    </xdr:to>
    <xdr:sp macro="dbConnect" textlink="">
      <xdr:nvSpPr>
        <xdr:cNvPr id="19" name="ConnectionStatus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2695575" y="69850"/>
          <a:ext cx="900113" cy="252031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50" b="0">
              <a:solidFill>
                <a:srgbClr val="FFFFFF"/>
              </a:solidFill>
              <a:latin typeface="Consolas" panose="020B0609020204030204" pitchFamily="49" charset="0"/>
              <a:cs typeface="Segoe UI" panose="020B0502040204020203" pitchFamily="34" charset="0"/>
            </a:rPr>
            <a:t>DB Status</a:t>
          </a:r>
        </a:p>
      </xdr:txBody>
    </xdr:sp>
    <xdr:clientData fPrintsWithSheet="0"/>
  </xdr:twoCellAnchor>
  <xdr:twoCellAnchor editAs="absolute">
    <xdr:from>
      <xdr:col>9</xdr:col>
      <xdr:colOff>2474773</xdr:colOff>
      <xdr:row>0</xdr:row>
      <xdr:rowOff>0</xdr:rowOff>
    </xdr:from>
    <xdr:to>
      <xdr:col>10</xdr:col>
      <xdr:colOff>266700</xdr:colOff>
      <xdr:row>0</xdr:row>
      <xdr:rowOff>200025</xdr:rowOff>
    </xdr:to>
    <xdr:sp macro="" textlink="">
      <xdr:nvSpPr>
        <xdr:cNvPr id="21" name="txtSection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 txBox="1"/>
      </xdr:nvSpPr>
      <xdr:spPr>
        <a:xfrm>
          <a:off x="6141898" y="0"/>
          <a:ext cx="554177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100"/>
            <a:t>DATA</a:t>
          </a:r>
        </a:p>
      </xdr:txBody>
    </xdr:sp>
    <xdr:clientData/>
  </xdr:twoCellAnchor>
  <xdr:twoCellAnchor editAs="absolute">
    <xdr:from>
      <xdr:col>10</xdr:col>
      <xdr:colOff>573235</xdr:colOff>
      <xdr:row>0</xdr:row>
      <xdr:rowOff>0</xdr:rowOff>
    </xdr:from>
    <xdr:to>
      <xdr:col>10</xdr:col>
      <xdr:colOff>573235</xdr:colOff>
      <xdr:row>1</xdr:row>
      <xdr:rowOff>5386</xdr:rowOff>
    </xdr:to>
    <xdr:cxnSp macro="">
      <xdr:nvCxnSpPr>
        <xdr:cNvPr id="11" name="separator 3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CxnSpPr/>
      </xdr:nvCxnSpPr>
      <xdr:spPr>
        <a:xfrm>
          <a:off x="700261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57529</xdr:colOff>
      <xdr:row>0</xdr:row>
      <xdr:rowOff>212598</xdr:rowOff>
    </xdr:from>
    <xdr:to>
      <xdr:col>10</xdr:col>
      <xdr:colOff>490383</xdr:colOff>
      <xdr:row>0</xdr:row>
      <xdr:rowOff>736899</xdr:rowOff>
    </xdr:to>
    <xdr:pic macro="[0]!orSave">
      <xdr:nvPicPr>
        <xdr:cNvPr id="22" name="saveOR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86904" y="212598"/>
          <a:ext cx="432854" cy="524301"/>
        </a:xfrm>
        <a:prstGeom prst="rect">
          <a:avLst/>
        </a:prstGeom>
      </xdr:spPr>
    </xdr:pic>
    <xdr:clientData/>
  </xdr:twoCellAnchor>
  <xdr:twoCellAnchor editAs="absolute">
    <xdr:from>
      <xdr:col>9</xdr:col>
      <xdr:colOff>2257058</xdr:colOff>
      <xdr:row>0</xdr:row>
      <xdr:rowOff>219075</xdr:rowOff>
    </xdr:from>
    <xdr:to>
      <xdr:col>9</xdr:col>
      <xdr:colOff>2659429</xdr:colOff>
      <xdr:row>0</xdr:row>
      <xdr:rowOff>737280</xdr:rowOff>
    </xdr:to>
    <xdr:pic macro="[0]!orAdd">
      <xdr:nvPicPr>
        <xdr:cNvPr id="23" name="addOR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183" y="219075"/>
          <a:ext cx="402371" cy="518205"/>
        </a:xfrm>
        <a:prstGeom prst="rect">
          <a:avLst/>
        </a:prstGeom>
      </xdr:spPr>
    </xdr:pic>
    <xdr:clientData/>
  </xdr:twoCellAnchor>
  <xdr:twoCellAnchor editAs="absolute">
    <xdr:from>
      <xdr:col>9</xdr:col>
      <xdr:colOff>2149190</xdr:colOff>
      <xdr:row>0</xdr:row>
      <xdr:rowOff>0</xdr:rowOff>
    </xdr:from>
    <xdr:to>
      <xdr:col>9</xdr:col>
      <xdr:colOff>2149190</xdr:colOff>
      <xdr:row>1</xdr:row>
      <xdr:rowOff>5386</xdr:rowOff>
    </xdr:to>
    <xdr:cxnSp macro="">
      <xdr:nvCxnSpPr>
        <xdr:cNvPr id="13" name="separator 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CxnSpPr/>
      </xdr:nvCxnSpPr>
      <xdr:spPr>
        <a:xfrm>
          <a:off x="5816315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1666881</xdr:colOff>
      <xdr:row>0</xdr:row>
      <xdr:rowOff>261474</xdr:rowOff>
    </xdr:from>
    <xdr:to>
      <xdr:col>9</xdr:col>
      <xdr:colOff>2000257</xdr:colOff>
      <xdr:row>0</xdr:row>
      <xdr:rowOff>765474</xdr:rowOff>
    </xdr:to>
    <xdr:pic macro="[0]!SelectScnName">
      <xdr:nvPicPr>
        <xdr:cNvPr id="24" name="selectScreen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email">
          <a:duotone>
            <a:schemeClr val="accent6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 l="13229" r="20625"/>
        <a:stretch/>
      </xdr:blipFill>
      <xdr:spPr>
        <a:xfrm>
          <a:off x="5334006" y="261474"/>
          <a:ext cx="333376" cy="504000"/>
        </a:xfrm>
        <a:prstGeom prst="rect">
          <a:avLst/>
        </a:prstGeom>
      </xdr:spPr>
    </xdr:pic>
    <xdr:clientData/>
  </xdr:twoCellAnchor>
  <xdr:twoCellAnchor editAs="absolute">
    <xdr:from>
      <xdr:col>9</xdr:col>
      <xdr:colOff>1154821</xdr:colOff>
      <xdr:row>0</xdr:row>
      <xdr:rowOff>261474</xdr:rowOff>
    </xdr:from>
    <xdr:to>
      <xdr:col>9</xdr:col>
      <xdr:colOff>1540227</xdr:colOff>
      <xdr:row>0</xdr:row>
      <xdr:rowOff>765474</xdr:rowOff>
    </xdr:to>
    <xdr:pic macro="[0]!AddModScnName">
      <xdr:nvPicPr>
        <xdr:cNvPr id="25" name="editScreen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email">
          <a:duotone>
            <a:schemeClr val="accent4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21946" y="261474"/>
          <a:ext cx="385406" cy="504000"/>
        </a:xfrm>
        <a:prstGeom prst="rect">
          <a:avLst/>
        </a:prstGeom>
      </xdr:spPr>
    </xdr:pic>
    <xdr:clientData/>
  </xdr:twoCellAnchor>
  <xdr:twoCellAnchor editAs="absolute">
    <xdr:from>
      <xdr:col>9</xdr:col>
      <xdr:colOff>590550</xdr:colOff>
      <xdr:row>0</xdr:row>
      <xdr:rowOff>261474</xdr:rowOff>
    </xdr:from>
    <xdr:to>
      <xdr:col>9</xdr:col>
      <xdr:colOff>990068</xdr:colOff>
      <xdr:row>0</xdr:row>
      <xdr:rowOff>765474</xdr:rowOff>
    </xdr:to>
    <xdr:pic macro="[0]!AddModScnName">
      <xdr:nvPicPr>
        <xdr:cNvPr id="26" name="addScreen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email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5" y="261474"/>
          <a:ext cx="399518" cy="504000"/>
        </a:xfrm>
        <a:prstGeom prst="rect">
          <a:avLst/>
        </a:prstGeom>
      </xdr:spPr>
    </xdr:pic>
    <xdr:clientData/>
  </xdr:twoCellAnchor>
  <xdr:twoCellAnchor editAs="absolute">
    <xdr:from>
      <xdr:col>9</xdr:col>
      <xdr:colOff>560248</xdr:colOff>
      <xdr:row>0</xdr:row>
      <xdr:rowOff>1</xdr:rowOff>
    </xdr:from>
    <xdr:to>
      <xdr:col>9</xdr:col>
      <xdr:colOff>2038350</xdr:colOff>
      <xdr:row>0</xdr:row>
      <xdr:rowOff>219075</xdr:rowOff>
    </xdr:to>
    <xdr:sp macro="" textlink="">
      <xdr:nvSpPr>
        <xdr:cNvPr id="17" name="txtSection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4227373" y="1"/>
          <a:ext cx="1478102" cy="2190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100"/>
            <a:t>OBJECT REPOSITORY</a:t>
          </a:r>
        </a:p>
      </xdr:txBody>
    </xdr:sp>
    <xdr:clientData/>
  </xdr:twoCellAnchor>
  <xdr:twoCellAnchor editAs="absolute">
    <xdr:from>
      <xdr:col>9</xdr:col>
      <xdr:colOff>457205</xdr:colOff>
      <xdr:row>0</xdr:row>
      <xdr:rowOff>0</xdr:rowOff>
    </xdr:from>
    <xdr:to>
      <xdr:col>9</xdr:col>
      <xdr:colOff>457205</xdr:colOff>
      <xdr:row>1</xdr:row>
      <xdr:rowOff>5386</xdr:rowOff>
    </xdr:to>
    <xdr:cxnSp macro="">
      <xdr:nvCxnSpPr>
        <xdr:cNvPr id="18" name="separator 1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CxnSpPr/>
      </xdr:nvCxnSpPr>
      <xdr:spPr>
        <a:xfrm>
          <a:off x="412433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43350</xdr:colOff>
      <xdr:row>5</xdr:row>
      <xdr:rowOff>14775</xdr:rowOff>
    </xdr:from>
    <xdr:to>
      <xdr:col>3</xdr:col>
      <xdr:colOff>223350</xdr:colOff>
      <xdr:row>5</xdr:row>
      <xdr:rowOff>194775</xdr:rowOff>
    </xdr:to>
    <xdr:pic macro="[0]!FuncMasterDelete">
      <xdr:nvPicPr>
        <xdr:cNvPr id="2" name="btnDelete" hidden="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2425" y="139590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4</xdr:col>
      <xdr:colOff>43350</xdr:colOff>
      <xdr:row>5</xdr:row>
      <xdr:rowOff>14775</xdr:rowOff>
    </xdr:from>
    <xdr:to>
      <xdr:col>4</xdr:col>
      <xdr:colOff>223350</xdr:colOff>
      <xdr:row>5</xdr:row>
      <xdr:rowOff>194775</xdr:rowOff>
    </xdr:to>
    <xdr:pic macro="[0]!FuncMasterEdit">
      <xdr:nvPicPr>
        <xdr:cNvPr id="3" name="btnEdit" hidden="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9125" y="139590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5</xdr:col>
      <xdr:colOff>43350</xdr:colOff>
      <xdr:row>4</xdr:row>
      <xdr:rowOff>14775</xdr:rowOff>
    </xdr:from>
    <xdr:to>
      <xdr:col>5</xdr:col>
      <xdr:colOff>223350</xdr:colOff>
      <xdr:row>4</xdr:row>
      <xdr:rowOff>194775</xdr:rowOff>
    </xdr:to>
    <xdr:pic macro="[0]!FuncMasterCancel">
      <xdr:nvPicPr>
        <xdr:cNvPr id="4" name="btnCancel" hidden="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95825" y="118635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2</xdr:col>
      <xdr:colOff>95250</xdr:colOff>
      <xdr:row>0</xdr:row>
      <xdr:rowOff>47625</xdr:rowOff>
    </xdr:from>
    <xdr:to>
      <xdr:col>8</xdr:col>
      <xdr:colOff>109970</xdr:colOff>
      <xdr:row>0</xdr:row>
      <xdr:rowOff>355600</xdr:rowOff>
    </xdr:to>
    <xdr:sp macro="" textlink="">
      <xdr:nvSpPr>
        <xdr:cNvPr id="5" name="txtHeader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95250" y="47625"/>
          <a:ext cx="2367395" cy="307975"/>
        </a:xfrm>
        <a:prstGeom prst="rect">
          <a:avLst/>
        </a:prstGeom>
        <a:solidFill>
          <a:srgbClr val="0F161D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N" sz="1600">
              <a:solidFill>
                <a:schemeClr val="bg1"/>
              </a:solidFill>
              <a:latin typeface="+mn-lt"/>
              <a:cs typeface="Segoe UI Semibold" panose="020B0702040204020203" pitchFamily="34" charset="0"/>
            </a:rPr>
            <a:t>FUNC MASTER</a:t>
          </a:r>
        </a:p>
      </xdr:txBody>
    </xdr:sp>
    <xdr:clientData fPrintsWithSheet="0"/>
  </xdr:twoCellAnchor>
  <xdr:twoCellAnchor editAs="absolute">
    <xdr:from>
      <xdr:col>8</xdr:col>
      <xdr:colOff>342900</xdr:colOff>
      <xdr:row>0</xdr:row>
      <xdr:rowOff>69850</xdr:rowOff>
    </xdr:from>
    <xdr:to>
      <xdr:col>8</xdr:col>
      <xdr:colOff>1243013</xdr:colOff>
      <xdr:row>0</xdr:row>
      <xdr:rowOff>321881</xdr:rowOff>
    </xdr:to>
    <xdr:sp macro="dbConnect" textlink="">
      <xdr:nvSpPr>
        <xdr:cNvPr id="8" name="ConnectionStatus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2695575" y="69850"/>
          <a:ext cx="900113" cy="252031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50" b="0">
              <a:solidFill>
                <a:srgbClr val="FFFFFF"/>
              </a:solidFill>
              <a:latin typeface="Consolas" panose="020B0609020204030204" pitchFamily="49" charset="0"/>
              <a:cs typeface="Segoe UI" panose="020B0502040204020203" pitchFamily="34" charset="0"/>
            </a:rPr>
            <a:t>DB Status</a:t>
          </a:r>
        </a:p>
      </xdr:txBody>
    </xdr:sp>
    <xdr:clientData fPrintsWithSheet="0"/>
  </xdr:twoCellAnchor>
  <xdr:twoCellAnchor editAs="absolute">
    <xdr:from>
      <xdr:col>8</xdr:col>
      <xdr:colOff>2922448</xdr:colOff>
      <xdr:row>0</xdr:row>
      <xdr:rowOff>0</xdr:rowOff>
    </xdr:from>
    <xdr:to>
      <xdr:col>9</xdr:col>
      <xdr:colOff>95250</xdr:colOff>
      <xdr:row>0</xdr:row>
      <xdr:rowOff>200025</xdr:rowOff>
    </xdr:to>
    <xdr:sp macro="" textlink="">
      <xdr:nvSpPr>
        <xdr:cNvPr id="9" name="txtSection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5275123" y="0"/>
          <a:ext cx="554177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100"/>
            <a:t>DATA</a:t>
          </a:r>
        </a:p>
      </xdr:txBody>
    </xdr:sp>
    <xdr:clientData/>
  </xdr:twoCellAnchor>
  <xdr:twoCellAnchor editAs="absolute">
    <xdr:from>
      <xdr:col>9</xdr:col>
      <xdr:colOff>401785</xdr:colOff>
      <xdr:row>0</xdr:row>
      <xdr:rowOff>0</xdr:rowOff>
    </xdr:from>
    <xdr:to>
      <xdr:col>9</xdr:col>
      <xdr:colOff>401785</xdr:colOff>
      <xdr:row>1</xdr:row>
      <xdr:rowOff>5386</xdr:rowOff>
    </xdr:to>
    <xdr:cxnSp macro="">
      <xdr:nvCxnSpPr>
        <xdr:cNvPr id="10" name="separator 3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CxnSpPr/>
      </xdr:nvCxnSpPr>
      <xdr:spPr>
        <a:xfrm>
          <a:off x="6135835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2520665</xdr:colOff>
      <xdr:row>0</xdr:row>
      <xdr:rowOff>0</xdr:rowOff>
    </xdr:from>
    <xdr:to>
      <xdr:col>8</xdr:col>
      <xdr:colOff>2520665</xdr:colOff>
      <xdr:row>1</xdr:row>
      <xdr:rowOff>5386</xdr:rowOff>
    </xdr:to>
    <xdr:cxnSp macro="">
      <xdr:nvCxnSpPr>
        <xdr:cNvPr id="13" name="separator 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CxnSpPr/>
      </xdr:nvCxnSpPr>
      <xdr:spPr>
        <a:xfrm>
          <a:off x="487334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1771655</xdr:colOff>
      <xdr:row>0</xdr:row>
      <xdr:rowOff>0</xdr:rowOff>
    </xdr:from>
    <xdr:to>
      <xdr:col>8</xdr:col>
      <xdr:colOff>1771655</xdr:colOff>
      <xdr:row>1</xdr:row>
      <xdr:rowOff>5386</xdr:rowOff>
    </xdr:to>
    <xdr:cxnSp macro="">
      <xdr:nvCxnSpPr>
        <xdr:cNvPr id="18" name="separator 1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CxnSpPr/>
      </xdr:nvCxnSpPr>
      <xdr:spPr>
        <a:xfrm>
          <a:off x="412433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3181350</xdr:colOff>
      <xdr:row>0</xdr:row>
      <xdr:rowOff>209550</xdr:rowOff>
    </xdr:from>
    <xdr:to>
      <xdr:col>9</xdr:col>
      <xdr:colOff>245790</xdr:colOff>
      <xdr:row>0</xdr:row>
      <xdr:rowOff>749550</xdr:rowOff>
    </xdr:to>
    <xdr:pic macro="[0]!FuncMasterSave">
      <xdr:nvPicPr>
        <xdr:cNvPr id="19" name="saveFuncMaster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534025" y="209550"/>
          <a:ext cx="445815" cy="540000"/>
        </a:xfrm>
        <a:prstGeom prst="rect">
          <a:avLst/>
        </a:prstGeom>
      </xdr:spPr>
    </xdr:pic>
    <xdr:clientData/>
  </xdr:twoCellAnchor>
  <xdr:twoCellAnchor editAs="absolute">
    <xdr:from>
      <xdr:col>8</xdr:col>
      <xdr:colOff>2647576</xdr:colOff>
      <xdr:row>0</xdr:row>
      <xdr:rowOff>209550</xdr:rowOff>
    </xdr:from>
    <xdr:to>
      <xdr:col>8</xdr:col>
      <xdr:colOff>3066871</xdr:colOff>
      <xdr:row>0</xdr:row>
      <xdr:rowOff>749550</xdr:rowOff>
    </xdr:to>
    <xdr:pic macro="[0]!FuncMasterAdd">
      <xdr:nvPicPr>
        <xdr:cNvPr id="20" name="addFuncMaster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000251" y="209550"/>
          <a:ext cx="419295" cy="540000"/>
        </a:xfrm>
        <a:prstGeom prst="rect">
          <a:avLst/>
        </a:prstGeom>
      </xdr:spPr>
    </xdr:pic>
    <xdr:clientData/>
  </xdr:twoCellAnchor>
  <xdr:twoCellAnchor editAs="absolute">
    <xdr:from>
      <xdr:col>8</xdr:col>
      <xdr:colOff>1914525</xdr:colOff>
      <xdr:row>0</xdr:row>
      <xdr:rowOff>209549</xdr:rowOff>
    </xdr:from>
    <xdr:to>
      <xdr:col>8</xdr:col>
      <xdr:colOff>2409825</xdr:colOff>
      <xdr:row>0</xdr:row>
      <xdr:rowOff>805160</xdr:rowOff>
    </xdr:to>
    <xdr:pic macro="[0]!FuncMasterfetch">
      <xdr:nvPicPr>
        <xdr:cNvPr id="21" name="viewFuncMaster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267200" y="209549"/>
          <a:ext cx="495300" cy="59561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43350</xdr:colOff>
      <xdr:row>4</xdr:row>
      <xdr:rowOff>14775</xdr:rowOff>
    </xdr:from>
    <xdr:to>
      <xdr:col>3</xdr:col>
      <xdr:colOff>223350</xdr:colOff>
      <xdr:row>4</xdr:row>
      <xdr:rowOff>194775</xdr:rowOff>
    </xdr:to>
    <xdr:pic macro="[0]!SubFuncMasterDelete">
      <xdr:nvPicPr>
        <xdr:cNvPr id="2" name="btnDelete" hidden="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2425" y="118635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4</xdr:col>
      <xdr:colOff>43350</xdr:colOff>
      <xdr:row>4</xdr:row>
      <xdr:rowOff>14775</xdr:rowOff>
    </xdr:from>
    <xdr:to>
      <xdr:col>4</xdr:col>
      <xdr:colOff>223350</xdr:colOff>
      <xdr:row>4</xdr:row>
      <xdr:rowOff>194775</xdr:rowOff>
    </xdr:to>
    <xdr:pic macro="[0]!SubFuncMasterEdit">
      <xdr:nvPicPr>
        <xdr:cNvPr id="3" name="btnEdit" hidden="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9125" y="118635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5</xdr:col>
      <xdr:colOff>43350</xdr:colOff>
      <xdr:row>4</xdr:row>
      <xdr:rowOff>14775</xdr:rowOff>
    </xdr:from>
    <xdr:to>
      <xdr:col>5</xdr:col>
      <xdr:colOff>223350</xdr:colOff>
      <xdr:row>4</xdr:row>
      <xdr:rowOff>194775</xdr:rowOff>
    </xdr:to>
    <xdr:pic macro="[0]!SubFuncMasterCancel">
      <xdr:nvPicPr>
        <xdr:cNvPr id="4" name="btnCancel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95825" y="118635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2</xdr:col>
      <xdr:colOff>95250</xdr:colOff>
      <xdr:row>0</xdr:row>
      <xdr:rowOff>47625</xdr:rowOff>
    </xdr:from>
    <xdr:to>
      <xdr:col>8</xdr:col>
      <xdr:colOff>109970</xdr:colOff>
      <xdr:row>0</xdr:row>
      <xdr:rowOff>355600</xdr:rowOff>
    </xdr:to>
    <xdr:sp macro="" textlink="">
      <xdr:nvSpPr>
        <xdr:cNvPr id="5" name="txtHeader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95250" y="47625"/>
          <a:ext cx="2367395" cy="307975"/>
        </a:xfrm>
        <a:prstGeom prst="rect">
          <a:avLst/>
        </a:prstGeom>
        <a:solidFill>
          <a:srgbClr val="0F161D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N" sz="1600">
              <a:solidFill>
                <a:schemeClr val="bg1"/>
              </a:solidFill>
              <a:latin typeface="+mn-lt"/>
              <a:cs typeface="Segoe UI Semibold" panose="020B0702040204020203" pitchFamily="34" charset="0"/>
            </a:rPr>
            <a:t>SUBFUNC MASTER</a:t>
          </a:r>
        </a:p>
      </xdr:txBody>
    </xdr:sp>
    <xdr:clientData fPrintsWithSheet="0"/>
  </xdr:twoCellAnchor>
  <xdr:twoCellAnchor editAs="absolute">
    <xdr:from>
      <xdr:col>8</xdr:col>
      <xdr:colOff>342900</xdr:colOff>
      <xdr:row>0</xdr:row>
      <xdr:rowOff>69850</xdr:rowOff>
    </xdr:from>
    <xdr:to>
      <xdr:col>8</xdr:col>
      <xdr:colOff>1243013</xdr:colOff>
      <xdr:row>0</xdr:row>
      <xdr:rowOff>321881</xdr:rowOff>
    </xdr:to>
    <xdr:sp macro="dbConnect" textlink="">
      <xdr:nvSpPr>
        <xdr:cNvPr id="6" name="ConnectionStatus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2695575" y="69850"/>
          <a:ext cx="900113" cy="252031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50" b="0">
              <a:solidFill>
                <a:srgbClr val="FFFFFF"/>
              </a:solidFill>
              <a:latin typeface="Consolas" panose="020B0609020204030204" pitchFamily="49" charset="0"/>
              <a:cs typeface="Segoe UI" panose="020B0502040204020203" pitchFamily="34" charset="0"/>
            </a:rPr>
            <a:t>DB Status</a:t>
          </a:r>
        </a:p>
      </xdr:txBody>
    </xdr:sp>
    <xdr:clientData fPrintsWithSheet="0"/>
  </xdr:twoCellAnchor>
  <xdr:twoCellAnchor editAs="absolute">
    <xdr:from>
      <xdr:col>8</xdr:col>
      <xdr:colOff>2922448</xdr:colOff>
      <xdr:row>0</xdr:row>
      <xdr:rowOff>0</xdr:rowOff>
    </xdr:from>
    <xdr:to>
      <xdr:col>8</xdr:col>
      <xdr:colOff>3476625</xdr:colOff>
      <xdr:row>0</xdr:row>
      <xdr:rowOff>200025</xdr:rowOff>
    </xdr:to>
    <xdr:sp macro="" textlink="">
      <xdr:nvSpPr>
        <xdr:cNvPr id="7" name="txtSection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5275123" y="0"/>
          <a:ext cx="554177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100"/>
            <a:t>DATA</a:t>
          </a:r>
        </a:p>
      </xdr:txBody>
    </xdr:sp>
    <xdr:clientData/>
  </xdr:twoCellAnchor>
  <xdr:twoCellAnchor editAs="absolute">
    <xdr:from>
      <xdr:col>8</xdr:col>
      <xdr:colOff>3783160</xdr:colOff>
      <xdr:row>0</xdr:row>
      <xdr:rowOff>0</xdr:rowOff>
    </xdr:from>
    <xdr:to>
      <xdr:col>8</xdr:col>
      <xdr:colOff>3783160</xdr:colOff>
      <xdr:row>1</xdr:row>
      <xdr:rowOff>5386</xdr:rowOff>
    </xdr:to>
    <xdr:cxnSp macro="">
      <xdr:nvCxnSpPr>
        <xdr:cNvPr id="8" name="separator 3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CxnSpPr/>
      </xdr:nvCxnSpPr>
      <xdr:spPr>
        <a:xfrm>
          <a:off x="6135835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2520665</xdr:colOff>
      <xdr:row>0</xdr:row>
      <xdr:rowOff>0</xdr:rowOff>
    </xdr:from>
    <xdr:to>
      <xdr:col>8</xdr:col>
      <xdr:colOff>2520665</xdr:colOff>
      <xdr:row>1</xdr:row>
      <xdr:rowOff>5386</xdr:rowOff>
    </xdr:to>
    <xdr:cxnSp macro="">
      <xdr:nvCxnSpPr>
        <xdr:cNvPr id="9" name="separator 2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487334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1771655</xdr:colOff>
      <xdr:row>0</xdr:row>
      <xdr:rowOff>0</xdr:rowOff>
    </xdr:from>
    <xdr:to>
      <xdr:col>8</xdr:col>
      <xdr:colOff>1771655</xdr:colOff>
      <xdr:row>1</xdr:row>
      <xdr:rowOff>5386</xdr:rowOff>
    </xdr:to>
    <xdr:cxnSp macro="">
      <xdr:nvCxnSpPr>
        <xdr:cNvPr id="10" name="separator 1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CxnSpPr/>
      </xdr:nvCxnSpPr>
      <xdr:spPr>
        <a:xfrm>
          <a:off x="412433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3181350</xdr:colOff>
      <xdr:row>0</xdr:row>
      <xdr:rowOff>200025</xdr:rowOff>
    </xdr:from>
    <xdr:to>
      <xdr:col>8</xdr:col>
      <xdr:colOff>3627165</xdr:colOff>
      <xdr:row>0</xdr:row>
      <xdr:rowOff>740025</xdr:rowOff>
    </xdr:to>
    <xdr:pic macro="[0]!SubFuncMasterSave">
      <xdr:nvPicPr>
        <xdr:cNvPr id="11" name="saveFuncMaster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534025" y="200025"/>
          <a:ext cx="445815" cy="540000"/>
        </a:xfrm>
        <a:prstGeom prst="rect">
          <a:avLst/>
        </a:prstGeom>
      </xdr:spPr>
    </xdr:pic>
    <xdr:clientData/>
  </xdr:twoCellAnchor>
  <xdr:twoCellAnchor editAs="absolute">
    <xdr:from>
      <xdr:col>8</xdr:col>
      <xdr:colOff>2647576</xdr:colOff>
      <xdr:row>0</xdr:row>
      <xdr:rowOff>200025</xdr:rowOff>
    </xdr:from>
    <xdr:to>
      <xdr:col>8</xdr:col>
      <xdr:colOff>3066871</xdr:colOff>
      <xdr:row>0</xdr:row>
      <xdr:rowOff>740025</xdr:rowOff>
    </xdr:to>
    <xdr:pic macro="[0]!SubFuncMasterAdd">
      <xdr:nvPicPr>
        <xdr:cNvPr id="12" name="addFuncMaster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000251" y="200025"/>
          <a:ext cx="419295" cy="540000"/>
        </a:xfrm>
        <a:prstGeom prst="rect">
          <a:avLst/>
        </a:prstGeom>
      </xdr:spPr>
    </xdr:pic>
    <xdr:clientData/>
  </xdr:twoCellAnchor>
  <xdr:twoCellAnchor editAs="absolute">
    <xdr:from>
      <xdr:col>8</xdr:col>
      <xdr:colOff>1914525</xdr:colOff>
      <xdr:row>0</xdr:row>
      <xdr:rowOff>200024</xdr:rowOff>
    </xdr:from>
    <xdr:to>
      <xdr:col>8</xdr:col>
      <xdr:colOff>2413537</xdr:colOff>
      <xdr:row>0</xdr:row>
      <xdr:rowOff>800099</xdr:rowOff>
    </xdr:to>
    <xdr:pic macro="[0]!SubFuncMasterFetch">
      <xdr:nvPicPr>
        <xdr:cNvPr id="13" name="viewFuncMaster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267200" y="200024"/>
          <a:ext cx="499012" cy="6000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43350</xdr:colOff>
      <xdr:row>4</xdr:row>
      <xdr:rowOff>14775</xdr:rowOff>
    </xdr:from>
    <xdr:to>
      <xdr:col>3</xdr:col>
      <xdr:colOff>223350</xdr:colOff>
      <xdr:row>4</xdr:row>
      <xdr:rowOff>194775</xdr:rowOff>
    </xdr:to>
    <xdr:pic macro="[0]!StepsDelete">
      <xdr:nvPicPr>
        <xdr:cNvPr id="2" name="btnDelete" hidden="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2425" y="118635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4</xdr:col>
      <xdr:colOff>43350</xdr:colOff>
      <xdr:row>4</xdr:row>
      <xdr:rowOff>14775</xdr:rowOff>
    </xdr:from>
    <xdr:to>
      <xdr:col>4</xdr:col>
      <xdr:colOff>223350</xdr:colOff>
      <xdr:row>4</xdr:row>
      <xdr:rowOff>194775</xdr:rowOff>
    </xdr:to>
    <xdr:pic macro="[0]!StepsEdit">
      <xdr:nvPicPr>
        <xdr:cNvPr id="3" name="btnEdit" hidden="1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9125" y="118635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5</xdr:col>
      <xdr:colOff>43350</xdr:colOff>
      <xdr:row>8</xdr:row>
      <xdr:rowOff>14775</xdr:rowOff>
    </xdr:from>
    <xdr:to>
      <xdr:col>5</xdr:col>
      <xdr:colOff>223350</xdr:colOff>
      <xdr:row>8</xdr:row>
      <xdr:rowOff>194775</xdr:rowOff>
    </xdr:to>
    <xdr:pic macro="[0]!StepsCancel">
      <xdr:nvPicPr>
        <xdr:cNvPr id="4" name="btnCancel" hidden="1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95825" y="202455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2</xdr:col>
      <xdr:colOff>95250</xdr:colOff>
      <xdr:row>0</xdr:row>
      <xdr:rowOff>47625</xdr:rowOff>
    </xdr:from>
    <xdr:to>
      <xdr:col>9</xdr:col>
      <xdr:colOff>1443470</xdr:colOff>
      <xdr:row>0</xdr:row>
      <xdr:rowOff>355600</xdr:rowOff>
    </xdr:to>
    <xdr:sp macro="" textlink="">
      <xdr:nvSpPr>
        <xdr:cNvPr id="5" name="txtHeader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95250" y="47625"/>
          <a:ext cx="2367395" cy="307975"/>
        </a:xfrm>
        <a:prstGeom prst="rect">
          <a:avLst/>
        </a:prstGeom>
        <a:solidFill>
          <a:srgbClr val="0F161D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N" sz="1600">
              <a:solidFill>
                <a:schemeClr val="bg1"/>
              </a:solidFill>
              <a:latin typeface="+mn-lt"/>
              <a:cs typeface="Segoe UI Semibold" panose="020B0702040204020203" pitchFamily="34" charset="0"/>
            </a:rPr>
            <a:t>SUBFUNC STEPS</a:t>
          </a:r>
        </a:p>
      </xdr:txBody>
    </xdr:sp>
    <xdr:clientData fPrintsWithSheet="0"/>
  </xdr:twoCellAnchor>
  <xdr:twoCellAnchor editAs="absolute">
    <xdr:from>
      <xdr:col>9</xdr:col>
      <xdr:colOff>374649</xdr:colOff>
      <xdr:row>0</xdr:row>
      <xdr:rowOff>428509</xdr:rowOff>
    </xdr:from>
    <xdr:to>
      <xdr:col>9</xdr:col>
      <xdr:colOff>3115541</xdr:colOff>
      <xdr:row>0</xdr:row>
      <xdr:rowOff>733309</xdr:rowOff>
    </xdr:to>
    <xdr:sp macro="" textlink="$B$5">
      <xdr:nvSpPr>
        <xdr:cNvPr id="6" name="dataLabel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393824" y="428509"/>
          <a:ext cx="2740892" cy="304800"/>
        </a:xfrm>
        <a:prstGeom prst="rect">
          <a:avLst/>
        </a:prstGeom>
        <a:solidFill>
          <a:sysClr val="window" lastClr="FFFFFF"/>
        </a:solidFill>
        <a:ln w="9525" cmpd="sng">
          <a:solidFill>
            <a:schemeClr val="bg1">
              <a:lumMod val="8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F193B902-90E6-41E6-AAE3-0C7E20134481}" type="TxLink">
            <a:rPr lang="en-US" sz="1500" b="0" i="0" u="none" strike="noStrike">
              <a:solidFill>
                <a:schemeClr val="tx1">
                  <a:lumMod val="85000"/>
                  <a:lumOff val="15000"/>
                </a:schemeClr>
              </a:solidFill>
              <a:effectLst/>
              <a:latin typeface="Calibri"/>
              <a:ea typeface="Calibri"/>
              <a:cs typeface="Calibri"/>
            </a:rPr>
            <a:pPr algn="l"/>
            <a:t> </a:t>
          </a:fld>
          <a:endParaRPr lang="en-US" sz="1500" b="0" i="0" u="none" strike="noStrike">
            <a:solidFill>
              <a:schemeClr val="tx1">
                <a:lumMod val="85000"/>
                <a:lumOff val="15000"/>
              </a:schemeClr>
            </a:solidFill>
            <a:effectLst/>
            <a:latin typeface="+mn-lt"/>
            <a:ea typeface="Calibri"/>
            <a:cs typeface="Segoe UI Semilight" panose="020B0402040204020203" pitchFamily="34" charset="0"/>
          </a:endParaRPr>
        </a:p>
      </xdr:txBody>
    </xdr:sp>
    <xdr:clientData fPrintsWithSheet="0"/>
  </xdr:twoCellAnchor>
  <xdr:twoCellAnchor editAs="absolute">
    <xdr:from>
      <xdr:col>2</xdr:col>
      <xdr:colOff>28575</xdr:colOff>
      <xdr:row>0</xdr:row>
      <xdr:rowOff>428974</xdr:rowOff>
    </xdr:from>
    <xdr:to>
      <xdr:col>9</xdr:col>
      <xdr:colOff>365243</xdr:colOff>
      <xdr:row>0</xdr:row>
      <xdr:rowOff>732845</xdr:rowOff>
    </xdr:to>
    <xdr:sp macro="" textlink="">
      <xdr:nvSpPr>
        <xdr:cNvPr id="7" name="txtLabel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28575" y="428974"/>
          <a:ext cx="1355843" cy="30387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bg1">
              <a:lumMod val="8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IN" sz="1250" b="0">
              <a:latin typeface="+mj-lt"/>
              <a:cs typeface="Segoe UI Semilight" panose="020B0402040204020203" pitchFamily="34" charset="0"/>
            </a:rPr>
            <a:t>SUBFUNC NAME:</a:t>
          </a:r>
        </a:p>
      </xdr:txBody>
    </xdr:sp>
    <xdr:clientData fPrintsWithSheet="0"/>
  </xdr:twoCellAnchor>
  <xdr:twoCellAnchor editAs="absolute">
    <xdr:from>
      <xdr:col>9</xdr:col>
      <xdr:colOff>1676400</xdr:colOff>
      <xdr:row>0</xdr:row>
      <xdr:rowOff>69850</xdr:rowOff>
    </xdr:from>
    <xdr:to>
      <xdr:col>9</xdr:col>
      <xdr:colOff>2576513</xdr:colOff>
      <xdr:row>0</xdr:row>
      <xdr:rowOff>321881</xdr:rowOff>
    </xdr:to>
    <xdr:sp macro="dbConnect" textlink="">
      <xdr:nvSpPr>
        <xdr:cNvPr id="8" name="ConnectionStatus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2695575" y="69850"/>
          <a:ext cx="900113" cy="252031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50" b="0">
              <a:solidFill>
                <a:srgbClr val="FFFFFF"/>
              </a:solidFill>
              <a:latin typeface="Consolas" panose="020B0609020204030204" pitchFamily="49" charset="0"/>
              <a:cs typeface="Segoe UI" panose="020B0502040204020203" pitchFamily="34" charset="0"/>
            </a:rPr>
            <a:t>DB Status</a:t>
          </a:r>
        </a:p>
      </xdr:txBody>
    </xdr:sp>
    <xdr:clientData fPrintsWithSheet="0"/>
  </xdr:twoCellAnchor>
  <xdr:twoCellAnchor editAs="absolute">
    <xdr:from>
      <xdr:col>10</xdr:col>
      <xdr:colOff>665023</xdr:colOff>
      <xdr:row>0</xdr:row>
      <xdr:rowOff>0</xdr:rowOff>
    </xdr:from>
    <xdr:to>
      <xdr:col>11</xdr:col>
      <xdr:colOff>428625</xdr:colOff>
      <xdr:row>0</xdr:row>
      <xdr:rowOff>216000</xdr:rowOff>
    </xdr:to>
    <xdr:sp macro="" textlink="">
      <xdr:nvSpPr>
        <xdr:cNvPr id="9" name="txtSection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 txBox="1"/>
      </xdr:nvSpPr>
      <xdr:spPr>
        <a:xfrm>
          <a:off x="5732323" y="0"/>
          <a:ext cx="554177" cy="21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100"/>
            <a:t>DATA</a:t>
          </a:r>
        </a:p>
      </xdr:txBody>
    </xdr:sp>
    <xdr:clientData/>
  </xdr:twoCellAnchor>
  <xdr:twoCellAnchor editAs="absolute">
    <xdr:from>
      <xdr:col>11</xdr:col>
      <xdr:colOff>782785</xdr:colOff>
      <xdr:row>0</xdr:row>
      <xdr:rowOff>0</xdr:rowOff>
    </xdr:from>
    <xdr:to>
      <xdr:col>11</xdr:col>
      <xdr:colOff>782785</xdr:colOff>
      <xdr:row>1</xdr:row>
      <xdr:rowOff>5386</xdr:rowOff>
    </xdr:to>
    <xdr:cxnSp macro="">
      <xdr:nvCxnSpPr>
        <xdr:cNvPr id="10" name="separator 3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664066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339440</xdr:colOff>
      <xdr:row>0</xdr:row>
      <xdr:rowOff>0</xdr:rowOff>
    </xdr:from>
    <xdr:to>
      <xdr:col>10</xdr:col>
      <xdr:colOff>339440</xdr:colOff>
      <xdr:row>1</xdr:row>
      <xdr:rowOff>5386</xdr:rowOff>
    </xdr:to>
    <xdr:cxnSp macro="">
      <xdr:nvCxnSpPr>
        <xdr:cNvPr id="11" name="separator 2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540674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3217723</xdr:colOff>
      <xdr:row>0</xdr:row>
      <xdr:rowOff>0</xdr:rowOff>
    </xdr:from>
    <xdr:to>
      <xdr:col>10</xdr:col>
      <xdr:colOff>249598</xdr:colOff>
      <xdr:row>0</xdr:row>
      <xdr:rowOff>216000</xdr:rowOff>
    </xdr:to>
    <xdr:sp macro="" textlink="">
      <xdr:nvSpPr>
        <xdr:cNvPr id="12" name="txtSection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 txBox="1"/>
      </xdr:nvSpPr>
      <xdr:spPr>
        <a:xfrm>
          <a:off x="4236898" y="0"/>
          <a:ext cx="1080000" cy="21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100"/>
            <a:t>SUB FUNCTION</a:t>
          </a:r>
        </a:p>
      </xdr:txBody>
    </xdr:sp>
    <xdr:clientData/>
  </xdr:twoCellAnchor>
  <xdr:twoCellAnchor editAs="absolute">
    <xdr:from>
      <xdr:col>9</xdr:col>
      <xdr:colOff>3105155</xdr:colOff>
      <xdr:row>0</xdr:row>
      <xdr:rowOff>0</xdr:rowOff>
    </xdr:from>
    <xdr:to>
      <xdr:col>9</xdr:col>
      <xdr:colOff>3105155</xdr:colOff>
      <xdr:row>1</xdr:row>
      <xdr:rowOff>5386</xdr:rowOff>
    </xdr:to>
    <xdr:cxnSp macro="">
      <xdr:nvCxnSpPr>
        <xdr:cNvPr id="13" name="separator 1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CxnSpPr/>
      </xdr:nvCxnSpPr>
      <xdr:spPr>
        <a:xfrm>
          <a:off x="412433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1453866</xdr:colOff>
      <xdr:row>0</xdr:row>
      <xdr:rowOff>0</xdr:rowOff>
    </xdr:from>
    <xdr:to>
      <xdr:col>11</xdr:col>
      <xdr:colOff>1453866</xdr:colOff>
      <xdr:row>1</xdr:row>
      <xdr:rowOff>5386</xdr:rowOff>
    </xdr:to>
    <xdr:cxnSp macro="">
      <xdr:nvCxnSpPr>
        <xdr:cNvPr id="14" name="separator 4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CxnSpPr/>
      </xdr:nvCxnSpPr>
      <xdr:spPr>
        <a:xfrm>
          <a:off x="7311741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783424</xdr:colOff>
      <xdr:row>0</xdr:row>
      <xdr:rowOff>257175</xdr:rowOff>
    </xdr:from>
    <xdr:to>
      <xdr:col>11</xdr:col>
      <xdr:colOff>1436421</xdr:colOff>
      <xdr:row>0</xdr:row>
      <xdr:rowOff>778125</xdr:rowOff>
    </xdr:to>
    <xdr:pic macro="[0]!StepsRefresh">
      <xdr:nvPicPr>
        <xdr:cNvPr id="15" name="refreshMap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641299" y="257175"/>
          <a:ext cx="652997" cy="520950"/>
        </a:xfrm>
        <a:prstGeom prst="rect">
          <a:avLst/>
        </a:prstGeom>
      </xdr:spPr>
    </xdr:pic>
    <xdr:clientData/>
  </xdr:twoCellAnchor>
  <xdr:twoCellAnchor editAs="absolute">
    <xdr:from>
      <xdr:col>11</xdr:col>
      <xdr:colOff>187326</xdr:colOff>
      <xdr:row>0</xdr:row>
      <xdr:rowOff>250649</xdr:rowOff>
    </xdr:from>
    <xdr:to>
      <xdr:col>11</xdr:col>
      <xdr:colOff>613830</xdr:colOff>
      <xdr:row>0</xdr:row>
      <xdr:rowOff>778125</xdr:rowOff>
    </xdr:to>
    <xdr:pic macro="[0]!StepsSave">
      <xdr:nvPicPr>
        <xdr:cNvPr id="16" name="saveMap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45201" y="250649"/>
          <a:ext cx="426504" cy="527476"/>
        </a:xfrm>
        <a:prstGeom prst="rect">
          <a:avLst/>
        </a:prstGeom>
      </xdr:spPr>
    </xdr:pic>
    <xdr:clientData/>
  </xdr:twoCellAnchor>
  <xdr:twoCellAnchor editAs="absolute">
    <xdr:from>
      <xdr:col>10</xdr:col>
      <xdr:colOff>485403</xdr:colOff>
      <xdr:row>0</xdr:row>
      <xdr:rowOff>263095</xdr:rowOff>
    </xdr:from>
    <xdr:to>
      <xdr:col>11</xdr:col>
      <xdr:colOff>95251</xdr:colOff>
      <xdr:row>0</xdr:row>
      <xdr:rowOff>778125</xdr:rowOff>
    </xdr:to>
    <xdr:pic macro="[0]!StepsAdd">
      <xdr:nvPicPr>
        <xdr:cNvPr id="17" name="addMap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552703" y="263095"/>
          <a:ext cx="400423" cy="51503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9525</xdr:rowOff>
        </xdr:from>
        <xdr:to>
          <xdr:col>15</xdr:col>
          <xdr:colOff>0</xdr:colOff>
          <xdr:row>0</xdr:row>
          <xdr:rowOff>228600</xdr:rowOff>
        </xdr:to>
        <xdr:sp macro="" textlink="">
          <xdr:nvSpPr>
            <xdr:cNvPr id="6145" name="cboSteps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9</xdr:col>
      <xdr:colOff>3686175</xdr:colOff>
      <xdr:row>0</xdr:row>
      <xdr:rowOff>212031</xdr:rowOff>
    </xdr:from>
    <xdr:to>
      <xdr:col>10</xdr:col>
      <xdr:colOff>295275</xdr:colOff>
      <xdr:row>0</xdr:row>
      <xdr:rowOff>791015</xdr:rowOff>
    </xdr:to>
    <xdr:pic macro="[0]!SelectFunName">
      <xdr:nvPicPr>
        <xdr:cNvPr id="31" name="selectFunc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705350" y="212031"/>
          <a:ext cx="657225" cy="578984"/>
        </a:xfrm>
        <a:prstGeom prst="rect">
          <a:avLst/>
        </a:prstGeom>
      </xdr:spPr>
    </xdr:pic>
    <xdr:clientData/>
  </xdr:twoCellAnchor>
  <xdr:twoCellAnchor editAs="absolute">
    <xdr:from>
      <xdr:col>9</xdr:col>
      <xdr:colOff>3190875</xdr:colOff>
      <xdr:row>0</xdr:row>
      <xdr:rowOff>219075</xdr:rowOff>
    </xdr:from>
    <xdr:to>
      <xdr:col>9</xdr:col>
      <xdr:colOff>3586875</xdr:colOff>
      <xdr:row>0</xdr:row>
      <xdr:rowOff>783212</xdr:rowOff>
    </xdr:to>
    <xdr:pic macro="[0]!NewFunName">
      <xdr:nvPicPr>
        <xdr:cNvPr id="21" name="newFunc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4210050" y="219075"/>
          <a:ext cx="396000" cy="564137"/>
        </a:xfrm>
        <a:prstGeom prst="rect">
          <a:avLst/>
        </a:prstGeom>
      </xdr:spPr>
    </xdr:pic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43350</xdr:colOff>
      <xdr:row>4</xdr:row>
      <xdr:rowOff>14775</xdr:rowOff>
    </xdr:from>
    <xdr:to>
      <xdr:col>3</xdr:col>
      <xdr:colOff>223350</xdr:colOff>
      <xdr:row>4</xdr:row>
      <xdr:rowOff>194775</xdr:rowOff>
    </xdr:to>
    <xdr:pic macro="[0]!APIDelete">
      <xdr:nvPicPr>
        <xdr:cNvPr id="2" name="btnDelete" hidden="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2425" y="118635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4</xdr:col>
      <xdr:colOff>43350</xdr:colOff>
      <xdr:row>4</xdr:row>
      <xdr:rowOff>14775</xdr:rowOff>
    </xdr:from>
    <xdr:to>
      <xdr:col>4</xdr:col>
      <xdr:colOff>223350</xdr:colOff>
      <xdr:row>4</xdr:row>
      <xdr:rowOff>194775</xdr:rowOff>
    </xdr:to>
    <xdr:pic macro="[0]!APIEdit">
      <xdr:nvPicPr>
        <xdr:cNvPr id="3" name="btnEdit" hidden="1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9125" y="118635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5</xdr:col>
      <xdr:colOff>43350</xdr:colOff>
      <xdr:row>4</xdr:row>
      <xdr:rowOff>14775</xdr:rowOff>
    </xdr:from>
    <xdr:to>
      <xdr:col>5</xdr:col>
      <xdr:colOff>223350</xdr:colOff>
      <xdr:row>4</xdr:row>
      <xdr:rowOff>194775</xdr:rowOff>
    </xdr:to>
    <xdr:pic macro="[0]!APICancel">
      <xdr:nvPicPr>
        <xdr:cNvPr id="4" name="btnCancel" hidden="1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95825" y="118635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2</xdr:col>
      <xdr:colOff>95250</xdr:colOff>
      <xdr:row>0</xdr:row>
      <xdr:rowOff>47625</xdr:rowOff>
    </xdr:from>
    <xdr:to>
      <xdr:col>10</xdr:col>
      <xdr:colOff>62345</xdr:colOff>
      <xdr:row>0</xdr:row>
      <xdr:rowOff>355600</xdr:rowOff>
    </xdr:to>
    <xdr:sp macro="" textlink="">
      <xdr:nvSpPr>
        <xdr:cNvPr id="5" name="txtHeader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/>
      </xdr:nvSpPr>
      <xdr:spPr>
        <a:xfrm>
          <a:off x="95250" y="47625"/>
          <a:ext cx="2367395" cy="307975"/>
        </a:xfrm>
        <a:prstGeom prst="rect">
          <a:avLst/>
        </a:prstGeom>
        <a:solidFill>
          <a:srgbClr val="0F161D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N" sz="1600">
              <a:solidFill>
                <a:schemeClr val="bg1"/>
              </a:solidFill>
              <a:latin typeface="+mn-lt"/>
              <a:cs typeface="Segoe UI Semibold" panose="020B0702040204020203" pitchFamily="34" charset="0"/>
            </a:rPr>
            <a:t>API</a:t>
          </a:r>
        </a:p>
      </xdr:txBody>
    </xdr:sp>
    <xdr:clientData fPrintsWithSheet="0"/>
  </xdr:twoCellAnchor>
  <xdr:twoCellAnchor editAs="absolute">
    <xdr:from>
      <xdr:col>8</xdr:col>
      <xdr:colOff>374649</xdr:colOff>
      <xdr:row>0</xdr:row>
      <xdr:rowOff>428509</xdr:rowOff>
    </xdr:from>
    <xdr:to>
      <xdr:col>10</xdr:col>
      <xdr:colOff>1734416</xdr:colOff>
      <xdr:row>0</xdr:row>
      <xdr:rowOff>733309</xdr:rowOff>
    </xdr:to>
    <xdr:sp macro="" textlink="$B$5">
      <xdr:nvSpPr>
        <xdr:cNvPr id="6" name="dataLabel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/>
      </xdr:nvSpPr>
      <xdr:spPr>
        <a:xfrm>
          <a:off x="1393824" y="428509"/>
          <a:ext cx="2740892" cy="304800"/>
        </a:xfrm>
        <a:prstGeom prst="rect">
          <a:avLst/>
        </a:prstGeom>
        <a:solidFill>
          <a:sysClr val="window" lastClr="FFFFFF"/>
        </a:solidFill>
        <a:ln w="9525" cmpd="sng">
          <a:solidFill>
            <a:schemeClr val="bg1">
              <a:lumMod val="8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F193B902-90E6-41E6-AAE3-0C7E20134481}" type="TxLink">
            <a:rPr lang="en-US" sz="1500" b="0" i="0" u="none" strike="noStrike">
              <a:solidFill>
                <a:schemeClr val="tx1">
                  <a:lumMod val="85000"/>
                  <a:lumOff val="15000"/>
                </a:schemeClr>
              </a:solidFill>
              <a:effectLst/>
              <a:latin typeface="Calibri"/>
              <a:ea typeface="Calibri"/>
              <a:cs typeface="Calibri"/>
            </a:rPr>
            <a:pPr algn="l"/>
            <a:t> </a:t>
          </a:fld>
          <a:endParaRPr lang="en-US" sz="1500" b="0" i="0" u="none" strike="noStrike">
            <a:solidFill>
              <a:schemeClr val="tx1">
                <a:lumMod val="85000"/>
                <a:lumOff val="15000"/>
              </a:schemeClr>
            </a:solidFill>
            <a:effectLst/>
            <a:latin typeface="+mn-lt"/>
            <a:ea typeface="Calibri"/>
            <a:cs typeface="Segoe UI Semilight" panose="020B0402040204020203" pitchFamily="34" charset="0"/>
          </a:endParaRPr>
        </a:p>
      </xdr:txBody>
    </xdr:sp>
    <xdr:clientData fPrintsWithSheet="0"/>
  </xdr:twoCellAnchor>
  <xdr:twoCellAnchor editAs="absolute">
    <xdr:from>
      <xdr:col>2</xdr:col>
      <xdr:colOff>28575</xdr:colOff>
      <xdr:row>0</xdr:row>
      <xdr:rowOff>428974</xdr:rowOff>
    </xdr:from>
    <xdr:to>
      <xdr:col>8</xdr:col>
      <xdr:colOff>365243</xdr:colOff>
      <xdr:row>0</xdr:row>
      <xdr:rowOff>732845</xdr:rowOff>
    </xdr:to>
    <xdr:sp macro="" textlink="">
      <xdr:nvSpPr>
        <xdr:cNvPr id="7" name="txtLabel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/>
      </xdr:nvSpPr>
      <xdr:spPr>
        <a:xfrm>
          <a:off x="28575" y="428974"/>
          <a:ext cx="1355843" cy="30387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bg1">
              <a:lumMod val="8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IN" sz="1400" b="0">
              <a:latin typeface="+mj-lt"/>
              <a:cs typeface="Segoe UI Semilight" panose="020B0402040204020203" pitchFamily="34" charset="0"/>
            </a:rPr>
            <a:t>SCENARIO ID :</a:t>
          </a:r>
        </a:p>
      </xdr:txBody>
    </xdr:sp>
    <xdr:clientData fPrintsWithSheet="0"/>
  </xdr:twoCellAnchor>
  <xdr:twoCellAnchor editAs="absolute">
    <xdr:from>
      <xdr:col>10</xdr:col>
      <xdr:colOff>295275</xdr:colOff>
      <xdr:row>0</xdr:row>
      <xdr:rowOff>69850</xdr:rowOff>
    </xdr:from>
    <xdr:to>
      <xdr:col>10</xdr:col>
      <xdr:colOff>1195388</xdr:colOff>
      <xdr:row>0</xdr:row>
      <xdr:rowOff>321881</xdr:rowOff>
    </xdr:to>
    <xdr:sp macro="dbConnect" textlink="">
      <xdr:nvSpPr>
        <xdr:cNvPr id="8" name="ConnectionStatus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2695575" y="69850"/>
          <a:ext cx="900113" cy="252031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50" b="0">
              <a:solidFill>
                <a:srgbClr val="FFFFFF"/>
              </a:solidFill>
              <a:latin typeface="Consolas" panose="020B0609020204030204" pitchFamily="49" charset="0"/>
              <a:cs typeface="Segoe UI" panose="020B0502040204020203" pitchFamily="34" charset="0"/>
            </a:rPr>
            <a:t>DB Status</a:t>
          </a:r>
        </a:p>
      </xdr:txBody>
    </xdr:sp>
    <xdr:clientData fPrintsWithSheet="0"/>
  </xdr:twoCellAnchor>
  <xdr:twoCellAnchor editAs="absolute">
    <xdr:from>
      <xdr:col>12</xdr:col>
      <xdr:colOff>284023</xdr:colOff>
      <xdr:row>0</xdr:row>
      <xdr:rowOff>0</xdr:rowOff>
    </xdr:from>
    <xdr:to>
      <xdr:col>12</xdr:col>
      <xdr:colOff>838200</xdr:colOff>
      <xdr:row>0</xdr:row>
      <xdr:rowOff>216000</xdr:rowOff>
    </xdr:to>
    <xdr:sp macro="" textlink="">
      <xdr:nvSpPr>
        <xdr:cNvPr id="9" name="txtSection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/>
      </xdr:nvSpPr>
      <xdr:spPr>
        <a:xfrm>
          <a:off x="5618023" y="0"/>
          <a:ext cx="554177" cy="21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100"/>
            <a:t>DATA</a:t>
          </a:r>
        </a:p>
      </xdr:txBody>
    </xdr:sp>
    <xdr:clientData/>
  </xdr:twoCellAnchor>
  <xdr:twoCellAnchor editAs="absolute">
    <xdr:from>
      <xdr:col>13</xdr:col>
      <xdr:colOff>1735</xdr:colOff>
      <xdr:row>0</xdr:row>
      <xdr:rowOff>0</xdr:rowOff>
    </xdr:from>
    <xdr:to>
      <xdr:col>13</xdr:col>
      <xdr:colOff>1735</xdr:colOff>
      <xdr:row>1</xdr:row>
      <xdr:rowOff>5386</xdr:rowOff>
    </xdr:to>
    <xdr:cxnSp macro="">
      <xdr:nvCxnSpPr>
        <xdr:cNvPr id="10" name="separator 3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CxnSpPr/>
      </xdr:nvCxnSpPr>
      <xdr:spPr>
        <a:xfrm>
          <a:off x="652636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806165</xdr:colOff>
      <xdr:row>0</xdr:row>
      <xdr:rowOff>0</xdr:rowOff>
    </xdr:from>
    <xdr:to>
      <xdr:col>11</xdr:col>
      <xdr:colOff>806165</xdr:colOff>
      <xdr:row>1</xdr:row>
      <xdr:rowOff>5386</xdr:rowOff>
    </xdr:to>
    <xdr:cxnSp macro="">
      <xdr:nvCxnSpPr>
        <xdr:cNvPr id="11" name="separator 2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CxnSpPr/>
      </xdr:nvCxnSpPr>
      <xdr:spPr>
        <a:xfrm>
          <a:off x="529244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1912798</xdr:colOff>
      <xdr:row>0</xdr:row>
      <xdr:rowOff>0</xdr:rowOff>
    </xdr:from>
    <xdr:to>
      <xdr:col>11</xdr:col>
      <xdr:colOff>638175</xdr:colOff>
      <xdr:row>0</xdr:row>
      <xdr:rowOff>216000</xdr:rowOff>
    </xdr:to>
    <xdr:sp macro="" textlink="">
      <xdr:nvSpPr>
        <xdr:cNvPr id="12" name="txtSection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 txBox="1"/>
      </xdr:nvSpPr>
      <xdr:spPr>
        <a:xfrm>
          <a:off x="4313098" y="0"/>
          <a:ext cx="811352" cy="21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100"/>
            <a:t>API</a:t>
          </a:r>
        </a:p>
      </xdr:txBody>
    </xdr:sp>
    <xdr:clientData/>
  </xdr:twoCellAnchor>
  <xdr:twoCellAnchor editAs="absolute">
    <xdr:from>
      <xdr:col>10</xdr:col>
      <xdr:colOff>1724030</xdr:colOff>
      <xdr:row>0</xdr:row>
      <xdr:rowOff>0</xdr:rowOff>
    </xdr:from>
    <xdr:to>
      <xdr:col>10</xdr:col>
      <xdr:colOff>1724030</xdr:colOff>
      <xdr:row>1</xdr:row>
      <xdr:rowOff>5386</xdr:rowOff>
    </xdr:to>
    <xdr:cxnSp macro="">
      <xdr:nvCxnSpPr>
        <xdr:cNvPr id="13" name="separator 1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CxnSpPr/>
      </xdr:nvCxnSpPr>
      <xdr:spPr>
        <a:xfrm>
          <a:off x="412433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596901</xdr:colOff>
      <xdr:row>0</xdr:row>
      <xdr:rowOff>269699</xdr:rowOff>
    </xdr:from>
    <xdr:to>
      <xdr:col>12</xdr:col>
      <xdr:colOff>1023405</xdr:colOff>
      <xdr:row>0</xdr:row>
      <xdr:rowOff>797175</xdr:rowOff>
    </xdr:to>
    <xdr:pic macro="[0]!APISave">
      <xdr:nvPicPr>
        <xdr:cNvPr id="16" name="saveMap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30901" y="269699"/>
          <a:ext cx="426504" cy="527476"/>
        </a:xfrm>
        <a:prstGeom prst="rect">
          <a:avLst/>
        </a:prstGeom>
      </xdr:spPr>
    </xdr:pic>
    <xdr:clientData/>
  </xdr:twoCellAnchor>
  <xdr:twoCellAnchor editAs="absolute">
    <xdr:from>
      <xdr:col>12</xdr:col>
      <xdr:colOff>104403</xdr:colOff>
      <xdr:row>0</xdr:row>
      <xdr:rowOff>282145</xdr:rowOff>
    </xdr:from>
    <xdr:to>
      <xdr:col>12</xdr:col>
      <xdr:colOff>504826</xdr:colOff>
      <xdr:row>0</xdr:row>
      <xdr:rowOff>797175</xdr:rowOff>
    </xdr:to>
    <xdr:pic macro="[0]!APIAdd">
      <xdr:nvPicPr>
        <xdr:cNvPr id="17" name="addMap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438403" y="282145"/>
          <a:ext cx="400423" cy="51503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0</xdr:row>
          <xdr:rowOff>85725</xdr:rowOff>
        </xdr:from>
        <xdr:to>
          <xdr:col>11</xdr:col>
          <xdr:colOff>95250</xdr:colOff>
          <xdr:row>0</xdr:row>
          <xdr:rowOff>304800</xdr:rowOff>
        </xdr:to>
        <xdr:sp macro="" textlink="">
          <xdr:nvSpPr>
            <xdr:cNvPr id="10241" name="cboAPI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4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11</xdr:col>
      <xdr:colOff>266701</xdr:colOff>
      <xdr:row>0</xdr:row>
      <xdr:rowOff>250649</xdr:rowOff>
    </xdr:from>
    <xdr:to>
      <xdr:col>11</xdr:col>
      <xdr:colOff>779063</xdr:colOff>
      <xdr:row>0</xdr:row>
      <xdr:rowOff>778125</xdr:rowOff>
    </xdr:to>
    <xdr:pic macro="[0]!APISelectScnId">
      <xdr:nvPicPr>
        <xdr:cNvPr id="20" name="selectAPIScn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52976" y="250649"/>
          <a:ext cx="512362" cy="527476"/>
        </a:xfrm>
        <a:prstGeom prst="rect">
          <a:avLst/>
        </a:prstGeom>
      </xdr:spPr>
    </xdr:pic>
    <xdr:clientData/>
  </xdr:twoCellAnchor>
  <xdr:twoCellAnchor editAs="absolute">
    <xdr:from>
      <xdr:col>10</xdr:col>
      <xdr:colOff>1800225</xdr:colOff>
      <xdr:row>0</xdr:row>
      <xdr:rowOff>238125</xdr:rowOff>
    </xdr:from>
    <xdr:to>
      <xdr:col>11</xdr:col>
      <xdr:colOff>110250</xdr:colOff>
      <xdr:row>0</xdr:row>
      <xdr:rowOff>778125</xdr:rowOff>
    </xdr:to>
    <xdr:pic macro="[0]!APINewScnId">
      <xdr:nvPicPr>
        <xdr:cNvPr id="21" name="newAPIScn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200525" y="238125"/>
          <a:ext cx="396000" cy="540000"/>
        </a:xfrm>
        <a:prstGeom prst="rect">
          <a:avLst/>
        </a:prstGeom>
      </xdr:spPr>
    </xdr:pic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0</xdr:row>
          <xdr:rowOff>85725</xdr:rowOff>
        </xdr:from>
        <xdr:to>
          <xdr:col>10</xdr:col>
          <xdr:colOff>2543175</xdr:colOff>
          <xdr:row>0</xdr:row>
          <xdr:rowOff>304800</xdr:rowOff>
        </xdr:to>
        <xdr:sp macro="" textlink="">
          <xdr:nvSpPr>
            <xdr:cNvPr id="4097" name="cboMapping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3</xdr:col>
      <xdr:colOff>43350</xdr:colOff>
      <xdr:row>4</xdr:row>
      <xdr:rowOff>14775</xdr:rowOff>
    </xdr:from>
    <xdr:to>
      <xdr:col>3</xdr:col>
      <xdr:colOff>223350</xdr:colOff>
      <xdr:row>4</xdr:row>
      <xdr:rowOff>194775</xdr:rowOff>
    </xdr:to>
    <xdr:pic macro="[0]!MapDelete">
      <xdr:nvPicPr>
        <xdr:cNvPr id="2" name="btnDelete" hidden="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2425" y="118635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4</xdr:col>
      <xdr:colOff>43350</xdr:colOff>
      <xdr:row>4</xdr:row>
      <xdr:rowOff>14775</xdr:rowOff>
    </xdr:from>
    <xdr:to>
      <xdr:col>4</xdr:col>
      <xdr:colOff>223350</xdr:colOff>
      <xdr:row>4</xdr:row>
      <xdr:rowOff>194775</xdr:rowOff>
    </xdr:to>
    <xdr:pic macro="[0]!MapEdit">
      <xdr:nvPicPr>
        <xdr:cNvPr id="3" name="btnEdit" hidden="1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9125" y="118635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5</xdr:col>
      <xdr:colOff>43350</xdr:colOff>
      <xdr:row>4</xdr:row>
      <xdr:rowOff>14775</xdr:rowOff>
    </xdr:from>
    <xdr:to>
      <xdr:col>5</xdr:col>
      <xdr:colOff>223350</xdr:colOff>
      <xdr:row>4</xdr:row>
      <xdr:rowOff>194775</xdr:rowOff>
    </xdr:to>
    <xdr:pic macro="[0]!MapCancel">
      <xdr:nvPicPr>
        <xdr:cNvPr id="4" name="btnCancel" hidden="1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95825" y="118635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2</xdr:col>
      <xdr:colOff>95250</xdr:colOff>
      <xdr:row>0</xdr:row>
      <xdr:rowOff>47625</xdr:rowOff>
    </xdr:from>
    <xdr:to>
      <xdr:col>10</xdr:col>
      <xdr:colOff>62345</xdr:colOff>
      <xdr:row>0</xdr:row>
      <xdr:rowOff>355600</xdr:rowOff>
    </xdr:to>
    <xdr:sp macro="" textlink="">
      <xdr:nvSpPr>
        <xdr:cNvPr id="5" name="txtHeader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 txBox="1"/>
      </xdr:nvSpPr>
      <xdr:spPr>
        <a:xfrm>
          <a:off x="95250" y="47625"/>
          <a:ext cx="2367395" cy="307975"/>
        </a:xfrm>
        <a:prstGeom prst="rect">
          <a:avLst/>
        </a:prstGeom>
        <a:solidFill>
          <a:srgbClr val="0F161D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N" sz="1600">
              <a:solidFill>
                <a:schemeClr val="bg1"/>
              </a:solidFill>
              <a:latin typeface="+mn-lt"/>
              <a:cs typeface="Segoe UI Semibold" panose="020B0702040204020203" pitchFamily="34" charset="0"/>
            </a:rPr>
            <a:t>FUNC SUBFUNC MAPPING</a:t>
          </a:r>
        </a:p>
      </xdr:txBody>
    </xdr:sp>
    <xdr:clientData fPrintsWithSheet="0"/>
  </xdr:twoCellAnchor>
  <xdr:twoCellAnchor editAs="absolute">
    <xdr:from>
      <xdr:col>8</xdr:col>
      <xdr:colOff>374649</xdr:colOff>
      <xdr:row>0</xdr:row>
      <xdr:rowOff>428509</xdr:rowOff>
    </xdr:from>
    <xdr:to>
      <xdr:col>10</xdr:col>
      <xdr:colOff>1734416</xdr:colOff>
      <xdr:row>0</xdr:row>
      <xdr:rowOff>733309</xdr:rowOff>
    </xdr:to>
    <xdr:sp macro="" textlink="$B$5">
      <xdr:nvSpPr>
        <xdr:cNvPr id="6" name="dataLabel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 txBox="1"/>
      </xdr:nvSpPr>
      <xdr:spPr>
        <a:xfrm>
          <a:off x="1393824" y="428509"/>
          <a:ext cx="2740892" cy="304800"/>
        </a:xfrm>
        <a:prstGeom prst="rect">
          <a:avLst/>
        </a:prstGeom>
        <a:solidFill>
          <a:sysClr val="window" lastClr="FFFFFF"/>
        </a:solidFill>
        <a:ln w="9525" cmpd="sng">
          <a:solidFill>
            <a:schemeClr val="bg1">
              <a:lumMod val="8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F193B902-90E6-41E6-AAE3-0C7E20134481}" type="TxLink">
            <a:rPr lang="en-US" sz="1500" b="0" i="0" u="none" strike="noStrike">
              <a:solidFill>
                <a:schemeClr val="tx1">
                  <a:lumMod val="85000"/>
                  <a:lumOff val="15000"/>
                </a:schemeClr>
              </a:solidFill>
              <a:effectLst/>
              <a:latin typeface="Calibri"/>
              <a:ea typeface="Calibri"/>
              <a:cs typeface="Calibri"/>
            </a:rPr>
            <a:pPr algn="l"/>
            <a:t> </a:t>
          </a:fld>
          <a:endParaRPr lang="en-US" sz="1500" b="0" i="0" u="none" strike="noStrike">
            <a:solidFill>
              <a:schemeClr val="tx1">
                <a:lumMod val="85000"/>
                <a:lumOff val="15000"/>
              </a:schemeClr>
            </a:solidFill>
            <a:effectLst/>
            <a:latin typeface="+mn-lt"/>
            <a:ea typeface="Calibri"/>
            <a:cs typeface="Segoe UI Semilight" panose="020B0402040204020203" pitchFamily="34" charset="0"/>
          </a:endParaRPr>
        </a:p>
      </xdr:txBody>
    </xdr:sp>
    <xdr:clientData fPrintsWithSheet="0"/>
  </xdr:twoCellAnchor>
  <xdr:twoCellAnchor editAs="absolute">
    <xdr:from>
      <xdr:col>2</xdr:col>
      <xdr:colOff>28575</xdr:colOff>
      <xdr:row>0</xdr:row>
      <xdr:rowOff>428974</xdr:rowOff>
    </xdr:from>
    <xdr:to>
      <xdr:col>8</xdr:col>
      <xdr:colOff>365243</xdr:colOff>
      <xdr:row>0</xdr:row>
      <xdr:rowOff>732845</xdr:rowOff>
    </xdr:to>
    <xdr:sp macro="" textlink="">
      <xdr:nvSpPr>
        <xdr:cNvPr id="7" name="txtLabel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 txBox="1"/>
      </xdr:nvSpPr>
      <xdr:spPr>
        <a:xfrm>
          <a:off x="28575" y="428974"/>
          <a:ext cx="1355843" cy="30387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bg1">
              <a:lumMod val="8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IN" sz="1400" b="0">
              <a:latin typeface="+mj-lt"/>
              <a:cs typeface="Segoe UI Semilight" panose="020B0402040204020203" pitchFamily="34" charset="0"/>
            </a:rPr>
            <a:t>SCENARIO ID :</a:t>
          </a:r>
        </a:p>
      </xdr:txBody>
    </xdr:sp>
    <xdr:clientData fPrintsWithSheet="0"/>
  </xdr:twoCellAnchor>
  <xdr:twoCellAnchor editAs="absolute">
    <xdr:from>
      <xdr:col>10</xdr:col>
      <xdr:colOff>295275</xdr:colOff>
      <xdr:row>0</xdr:row>
      <xdr:rowOff>69850</xdr:rowOff>
    </xdr:from>
    <xdr:to>
      <xdr:col>10</xdr:col>
      <xdr:colOff>1195388</xdr:colOff>
      <xdr:row>0</xdr:row>
      <xdr:rowOff>321881</xdr:rowOff>
    </xdr:to>
    <xdr:sp macro="dbConnect" textlink="">
      <xdr:nvSpPr>
        <xdr:cNvPr id="8" name="ConnectionStatus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2695575" y="69850"/>
          <a:ext cx="900113" cy="252031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50" b="0">
              <a:solidFill>
                <a:srgbClr val="FFFFFF"/>
              </a:solidFill>
              <a:latin typeface="Consolas" panose="020B0609020204030204" pitchFamily="49" charset="0"/>
              <a:cs typeface="Segoe UI" panose="020B0502040204020203" pitchFamily="34" charset="0"/>
            </a:rPr>
            <a:t>DB Status</a:t>
          </a:r>
        </a:p>
      </xdr:txBody>
    </xdr:sp>
    <xdr:clientData fPrintsWithSheet="0"/>
  </xdr:twoCellAnchor>
  <xdr:twoCellAnchor editAs="absolute">
    <xdr:from>
      <xdr:col>11</xdr:col>
      <xdr:colOff>169723</xdr:colOff>
      <xdr:row>0</xdr:row>
      <xdr:rowOff>0</xdr:rowOff>
    </xdr:from>
    <xdr:to>
      <xdr:col>11</xdr:col>
      <xdr:colOff>723900</xdr:colOff>
      <xdr:row>0</xdr:row>
      <xdr:rowOff>216000</xdr:rowOff>
    </xdr:to>
    <xdr:sp macro="" textlink="">
      <xdr:nvSpPr>
        <xdr:cNvPr id="9" name="txtSection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 txBox="1"/>
      </xdr:nvSpPr>
      <xdr:spPr>
        <a:xfrm>
          <a:off x="5618023" y="0"/>
          <a:ext cx="554177" cy="21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100"/>
            <a:t>DATA</a:t>
          </a:r>
        </a:p>
      </xdr:txBody>
    </xdr:sp>
    <xdr:clientData/>
  </xdr:twoCellAnchor>
  <xdr:twoCellAnchor editAs="absolute">
    <xdr:from>
      <xdr:col>13</xdr:col>
      <xdr:colOff>58885</xdr:colOff>
      <xdr:row>0</xdr:row>
      <xdr:rowOff>0</xdr:rowOff>
    </xdr:from>
    <xdr:to>
      <xdr:col>13</xdr:col>
      <xdr:colOff>58885</xdr:colOff>
      <xdr:row>1</xdr:row>
      <xdr:rowOff>5386</xdr:rowOff>
    </xdr:to>
    <xdr:cxnSp macro="">
      <xdr:nvCxnSpPr>
        <xdr:cNvPr id="10" name="separator 3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CxnSpPr/>
      </xdr:nvCxnSpPr>
      <xdr:spPr>
        <a:xfrm>
          <a:off x="652636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2892140</xdr:colOff>
      <xdr:row>0</xdr:row>
      <xdr:rowOff>0</xdr:rowOff>
    </xdr:from>
    <xdr:to>
      <xdr:col>10</xdr:col>
      <xdr:colOff>2892140</xdr:colOff>
      <xdr:row>1</xdr:row>
      <xdr:rowOff>5386</xdr:rowOff>
    </xdr:to>
    <xdr:cxnSp macro="">
      <xdr:nvCxnSpPr>
        <xdr:cNvPr id="13" name="separator 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CxnSpPr/>
      </xdr:nvCxnSpPr>
      <xdr:spPr>
        <a:xfrm>
          <a:off x="529244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1912798</xdr:colOff>
      <xdr:row>0</xdr:row>
      <xdr:rowOff>0</xdr:rowOff>
    </xdr:from>
    <xdr:to>
      <xdr:col>10</xdr:col>
      <xdr:colOff>2724150</xdr:colOff>
      <xdr:row>0</xdr:row>
      <xdr:rowOff>216000</xdr:rowOff>
    </xdr:to>
    <xdr:sp macro="" textlink="">
      <xdr:nvSpPr>
        <xdr:cNvPr id="17" name="txtSection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SpPr txBox="1"/>
      </xdr:nvSpPr>
      <xdr:spPr>
        <a:xfrm>
          <a:off x="4313098" y="0"/>
          <a:ext cx="811352" cy="21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100"/>
            <a:t>MAPPING</a:t>
          </a:r>
        </a:p>
      </xdr:txBody>
    </xdr:sp>
    <xdr:clientData/>
  </xdr:twoCellAnchor>
  <xdr:twoCellAnchor editAs="absolute">
    <xdr:from>
      <xdr:col>10</xdr:col>
      <xdr:colOff>1724030</xdr:colOff>
      <xdr:row>0</xdr:row>
      <xdr:rowOff>0</xdr:rowOff>
    </xdr:from>
    <xdr:to>
      <xdr:col>10</xdr:col>
      <xdr:colOff>1724030</xdr:colOff>
      <xdr:row>1</xdr:row>
      <xdr:rowOff>5386</xdr:rowOff>
    </xdr:to>
    <xdr:cxnSp macro="">
      <xdr:nvCxnSpPr>
        <xdr:cNvPr id="18" name="separator 1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CxnSpPr/>
      </xdr:nvCxnSpPr>
      <xdr:spPr>
        <a:xfrm>
          <a:off x="412433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729966</xdr:colOff>
      <xdr:row>0</xdr:row>
      <xdr:rowOff>0</xdr:rowOff>
    </xdr:from>
    <xdr:to>
      <xdr:col>13</xdr:col>
      <xdr:colOff>729966</xdr:colOff>
      <xdr:row>1</xdr:row>
      <xdr:rowOff>5386</xdr:rowOff>
    </xdr:to>
    <xdr:cxnSp macro="">
      <xdr:nvCxnSpPr>
        <xdr:cNvPr id="19" name="separator 4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CxnSpPr/>
      </xdr:nvCxnSpPr>
      <xdr:spPr>
        <a:xfrm>
          <a:off x="7197441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59524</xdr:colOff>
      <xdr:row>0</xdr:row>
      <xdr:rowOff>276225</xdr:rowOff>
    </xdr:from>
    <xdr:to>
      <xdr:col>13</xdr:col>
      <xdr:colOff>712521</xdr:colOff>
      <xdr:row>0</xdr:row>
      <xdr:rowOff>797175</xdr:rowOff>
    </xdr:to>
    <xdr:pic macro="[0]!MapRefresh">
      <xdr:nvPicPr>
        <xdr:cNvPr id="20" name="refreshMap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526999" y="276225"/>
          <a:ext cx="652997" cy="520950"/>
        </a:xfrm>
        <a:prstGeom prst="rect">
          <a:avLst/>
        </a:prstGeom>
      </xdr:spPr>
    </xdr:pic>
    <xdr:clientData/>
  </xdr:twoCellAnchor>
  <xdr:twoCellAnchor editAs="absolute">
    <xdr:from>
      <xdr:col>11</xdr:col>
      <xdr:colOff>482601</xdr:colOff>
      <xdr:row>0</xdr:row>
      <xdr:rowOff>269699</xdr:rowOff>
    </xdr:from>
    <xdr:to>
      <xdr:col>11</xdr:col>
      <xdr:colOff>909105</xdr:colOff>
      <xdr:row>0</xdr:row>
      <xdr:rowOff>797175</xdr:rowOff>
    </xdr:to>
    <xdr:pic macro="[0]!MapSave">
      <xdr:nvPicPr>
        <xdr:cNvPr id="21" name="saveMap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30901" y="269699"/>
          <a:ext cx="426504" cy="527476"/>
        </a:xfrm>
        <a:prstGeom prst="rect">
          <a:avLst/>
        </a:prstGeom>
      </xdr:spPr>
    </xdr:pic>
    <xdr:clientData/>
  </xdr:twoCellAnchor>
  <xdr:twoCellAnchor editAs="absolute">
    <xdr:from>
      <xdr:col>10</xdr:col>
      <xdr:colOff>3038103</xdr:colOff>
      <xdr:row>0</xdr:row>
      <xdr:rowOff>282145</xdr:rowOff>
    </xdr:from>
    <xdr:to>
      <xdr:col>11</xdr:col>
      <xdr:colOff>390526</xdr:colOff>
      <xdr:row>0</xdr:row>
      <xdr:rowOff>797175</xdr:rowOff>
    </xdr:to>
    <xdr:pic macro="[0]!MapAdd">
      <xdr:nvPicPr>
        <xdr:cNvPr id="22" name="addMap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438403" y="282145"/>
          <a:ext cx="400423" cy="515030"/>
        </a:xfrm>
        <a:prstGeom prst="rect">
          <a:avLst/>
        </a:prstGeom>
      </xdr:spPr>
    </xdr:pic>
    <xdr:clientData/>
  </xdr:twoCellAnchor>
  <xdr:twoCellAnchor editAs="absolute">
    <xdr:from>
      <xdr:col>10</xdr:col>
      <xdr:colOff>2333626</xdr:colOff>
      <xdr:row>0</xdr:row>
      <xdr:rowOff>269699</xdr:rowOff>
    </xdr:from>
    <xdr:to>
      <xdr:col>10</xdr:col>
      <xdr:colOff>2845988</xdr:colOff>
      <xdr:row>0</xdr:row>
      <xdr:rowOff>797175</xdr:rowOff>
    </xdr:to>
    <xdr:pic macro="[0]!MapSelectScnId">
      <xdr:nvPicPr>
        <xdr:cNvPr id="23" name="selectMapScn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733926" y="269699"/>
          <a:ext cx="512362" cy="527476"/>
        </a:xfrm>
        <a:prstGeom prst="rect">
          <a:avLst/>
        </a:prstGeom>
      </xdr:spPr>
    </xdr:pic>
    <xdr:clientData/>
  </xdr:twoCellAnchor>
  <xdr:twoCellAnchor editAs="absolute">
    <xdr:from>
      <xdr:col>10</xdr:col>
      <xdr:colOff>1819275</xdr:colOff>
      <xdr:row>0</xdr:row>
      <xdr:rowOff>257175</xdr:rowOff>
    </xdr:from>
    <xdr:to>
      <xdr:col>10</xdr:col>
      <xdr:colOff>2215275</xdr:colOff>
      <xdr:row>0</xdr:row>
      <xdr:rowOff>797175</xdr:rowOff>
    </xdr:to>
    <xdr:pic macro="[0]!MapNewScnId">
      <xdr:nvPicPr>
        <xdr:cNvPr id="24" name="newMapScn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4219575" y="257175"/>
          <a:ext cx="396000" cy="540000"/>
        </a:xfrm>
        <a:prstGeom prst="rect">
          <a:avLst/>
        </a:prstGeom>
      </xdr:spPr>
    </xdr:pic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43350</xdr:colOff>
      <xdr:row>4</xdr:row>
      <xdr:rowOff>14775</xdr:rowOff>
    </xdr:from>
    <xdr:to>
      <xdr:col>3</xdr:col>
      <xdr:colOff>223350</xdr:colOff>
      <xdr:row>4</xdr:row>
      <xdr:rowOff>194775</xdr:rowOff>
    </xdr:to>
    <xdr:pic macro="[0]!BatchDelete">
      <xdr:nvPicPr>
        <xdr:cNvPr id="2" name="btnDelete" hidden="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2425" y="118635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4</xdr:col>
      <xdr:colOff>43350</xdr:colOff>
      <xdr:row>4</xdr:row>
      <xdr:rowOff>14775</xdr:rowOff>
    </xdr:from>
    <xdr:to>
      <xdr:col>4</xdr:col>
      <xdr:colOff>223350</xdr:colOff>
      <xdr:row>4</xdr:row>
      <xdr:rowOff>194775</xdr:rowOff>
    </xdr:to>
    <xdr:pic macro="[0]!BatchEdit">
      <xdr:nvPicPr>
        <xdr:cNvPr id="3" name="btnEdit" hidden="1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9125" y="118635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5</xdr:col>
      <xdr:colOff>43350</xdr:colOff>
      <xdr:row>4</xdr:row>
      <xdr:rowOff>14775</xdr:rowOff>
    </xdr:from>
    <xdr:to>
      <xdr:col>5</xdr:col>
      <xdr:colOff>223350</xdr:colOff>
      <xdr:row>4</xdr:row>
      <xdr:rowOff>194775</xdr:rowOff>
    </xdr:to>
    <xdr:pic macro="[0]!BatchCancel">
      <xdr:nvPicPr>
        <xdr:cNvPr id="4" name="btnCancel" hidden="1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95825" y="118635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2</xdr:col>
      <xdr:colOff>95250</xdr:colOff>
      <xdr:row>0</xdr:row>
      <xdr:rowOff>47625</xdr:rowOff>
    </xdr:from>
    <xdr:to>
      <xdr:col>7</xdr:col>
      <xdr:colOff>633845</xdr:colOff>
      <xdr:row>0</xdr:row>
      <xdr:rowOff>355600</xdr:rowOff>
    </xdr:to>
    <xdr:sp macro="" textlink="">
      <xdr:nvSpPr>
        <xdr:cNvPr id="5" name="txtHeader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 txBox="1"/>
      </xdr:nvSpPr>
      <xdr:spPr>
        <a:xfrm>
          <a:off x="95250" y="47625"/>
          <a:ext cx="2367395" cy="307975"/>
        </a:xfrm>
        <a:prstGeom prst="rect">
          <a:avLst/>
        </a:prstGeom>
        <a:solidFill>
          <a:srgbClr val="0F161D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N" sz="1600">
              <a:solidFill>
                <a:schemeClr val="bg1"/>
              </a:solidFill>
              <a:latin typeface="+mn-lt"/>
              <a:cs typeface="Segoe UI Semibold" panose="020B0702040204020203" pitchFamily="34" charset="0"/>
            </a:rPr>
            <a:t>SCN FUNC BATCHING</a:t>
          </a:r>
        </a:p>
      </xdr:txBody>
    </xdr:sp>
    <xdr:clientData fPrintsWithSheet="0"/>
  </xdr:twoCellAnchor>
  <xdr:twoCellAnchor editAs="absolute">
    <xdr:from>
      <xdr:col>6</xdr:col>
      <xdr:colOff>374649</xdr:colOff>
      <xdr:row>0</xdr:row>
      <xdr:rowOff>428509</xdr:rowOff>
    </xdr:from>
    <xdr:to>
      <xdr:col>10</xdr:col>
      <xdr:colOff>115166</xdr:colOff>
      <xdr:row>0</xdr:row>
      <xdr:rowOff>733309</xdr:rowOff>
    </xdr:to>
    <xdr:sp macro="" textlink="$B$5">
      <xdr:nvSpPr>
        <xdr:cNvPr id="6" name="dataLabel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 txBox="1"/>
      </xdr:nvSpPr>
      <xdr:spPr>
        <a:xfrm>
          <a:off x="1393824" y="428509"/>
          <a:ext cx="2740892" cy="304800"/>
        </a:xfrm>
        <a:prstGeom prst="rect">
          <a:avLst/>
        </a:prstGeom>
        <a:solidFill>
          <a:sysClr val="window" lastClr="FFFFFF"/>
        </a:solidFill>
        <a:ln w="9525" cmpd="sng">
          <a:solidFill>
            <a:schemeClr val="bg1">
              <a:lumMod val="8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F193B902-90E6-41E6-AAE3-0C7E20134481}" type="TxLink">
            <a:rPr lang="en-US" sz="1500" b="0" i="0" u="none" strike="noStrike">
              <a:solidFill>
                <a:schemeClr val="tx1">
                  <a:lumMod val="85000"/>
                  <a:lumOff val="15000"/>
                </a:schemeClr>
              </a:solidFill>
              <a:effectLst/>
              <a:latin typeface="Calibri"/>
              <a:ea typeface="Calibri"/>
              <a:cs typeface="Calibri"/>
            </a:rPr>
            <a:pPr algn="l"/>
            <a:t> </a:t>
          </a:fld>
          <a:endParaRPr lang="en-US" sz="1500" b="0" i="0" u="none" strike="noStrike">
            <a:solidFill>
              <a:schemeClr val="tx1">
                <a:lumMod val="85000"/>
                <a:lumOff val="15000"/>
              </a:schemeClr>
            </a:solidFill>
            <a:effectLst/>
            <a:latin typeface="+mn-lt"/>
            <a:ea typeface="Calibri"/>
            <a:cs typeface="Segoe UI Semilight" panose="020B0402040204020203" pitchFamily="34" charset="0"/>
          </a:endParaRPr>
        </a:p>
      </xdr:txBody>
    </xdr:sp>
    <xdr:clientData fPrintsWithSheet="0"/>
  </xdr:twoCellAnchor>
  <xdr:twoCellAnchor editAs="absolute">
    <xdr:from>
      <xdr:col>2</xdr:col>
      <xdr:colOff>28575</xdr:colOff>
      <xdr:row>0</xdr:row>
      <xdr:rowOff>428974</xdr:rowOff>
    </xdr:from>
    <xdr:to>
      <xdr:col>6</xdr:col>
      <xdr:colOff>365243</xdr:colOff>
      <xdr:row>0</xdr:row>
      <xdr:rowOff>732845</xdr:rowOff>
    </xdr:to>
    <xdr:sp macro="" textlink="">
      <xdr:nvSpPr>
        <xdr:cNvPr id="7" name="txtLabel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 txBox="1"/>
      </xdr:nvSpPr>
      <xdr:spPr>
        <a:xfrm>
          <a:off x="28575" y="428974"/>
          <a:ext cx="1355843" cy="30387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bg1">
              <a:lumMod val="8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IN" sz="1400" b="0">
              <a:latin typeface="+mj-lt"/>
              <a:cs typeface="Segoe UI Semilight" panose="020B0402040204020203" pitchFamily="34" charset="0"/>
            </a:rPr>
            <a:t>SCENARIO ID :</a:t>
          </a:r>
        </a:p>
      </xdr:txBody>
    </xdr:sp>
    <xdr:clientData fPrintsWithSheet="0"/>
  </xdr:twoCellAnchor>
  <xdr:twoCellAnchor editAs="absolute">
    <xdr:from>
      <xdr:col>8</xdr:col>
      <xdr:colOff>57150</xdr:colOff>
      <xdr:row>0</xdr:row>
      <xdr:rowOff>69850</xdr:rowOff>
    </xdr:from>
    <xdr:to>
      <xdr:col>8</xdr:col>
      <xdr:colOff>957263</xdr:colOff>
      <xdr:row>0</xdr:row>
      <xdr:rowOff>321881</xdr:rowOff>
    </xdr:to>
    <xdr:sp macro="dbConnect" textlink="">
      <xdr:nvSpPr>
        <xdr:cNvPr id="8" name="ConnectionStatus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2695575" y="69850"/>
          <a:ext cx="900113" cy="252031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50" b="0">
              <a:solidFill>
                <a:srgbClr val="FFFFFF"/>
              </a:solidFill>
              <a:latin typeface="Consolas" panose="020B0609020204030204" pitchFamily="49" charset="0"/>
              <a:cs typeface="Segoe UI" panose="020B0502040204020203" pitchFamily="34" charset="0"/>
            </a:rPr>
            <a:t>DB Status</a:t>
          </a:r>
        </a:p>
      </xdr:txBody>
    </xdr:sp>
    <xdr:clientData fPrintsWithSheet="0"/>
  </xdr:twoCellAnchor>
  <xdr:twoCellAnchor editAs="absolute">
    <xdr:from>
      <xdr:col>10</xdr:col>
      <xdr:colOff>1998523</xdr:colOff>
      <xdr:row>0</xdr:row>
      <xdr:rowOff>0</xdr:rowOff>
    </xdr:from>
    <xdr:to>
      <xdr:col>10</xdr:col>
      <xdr:colOff>2552700</xdr:colOff>
      <xdr:row>0</xdr:row>
      <xdr:rowOff>216000</xdr:rowOff>
    </xdr:to>
    <xdr:sp macro="" textlink="">
      <xdr:nvSpPr>
        <xdr:cNvPr id="9" name="txtSection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 txBox="1"/>
      </xdr:nvSpPr>
      <xdr:spPr>
        <a:xfrm>
          <a:off x="6018073" y="0"/>
          <a:ext cx="554177" cy="21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100"/>
            <a:t>DATA</a:t>
          </a:r>
        </a:p>
      </xdr:txBody>
    </xdr:sp>
    <xdr:clientData/>
  </xdr:twoCellAnchor>
  <xdr:twoCellAnchor editAs="absolute">
    <xdr:from>
      <xdr:col>10</xdr:col>
      <xdr:colOff>2906860</xdr:colOff>
      <xdr:row>0</xdr:row>
      <xdr:rowOff>0</xdr:rowOff>
    </xdr:from>
    <xdr:to>
      <xdr:col>10</xdr:col>
      <xdr:colOff>2906860</xdr:colOff>
      <xdr:row>1</xdr:row>
      <xdr:rowOff>5386</xdr:rowOff>
    </xdr:to>
    <xdr:cxnSp macro="">
      <xdr:nvCxnSpPr>
        <xdr:cNvPr id="10" name="separator 3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CxnSpPr/>
      </xdr:nvCxnSpPr>
      <xdr:spPr>
        <a:xfrm>
          <a:off x="692641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1672940</xdr:colOff>
      <xdr:row>0</xdr:row>
      <xdr:rowOff>0</xdr:rowOff>
    </xdr:from>
    <xdr:to>
      <xdr:col>10</xdr:col>
      <xdr:colOff>1672940</xdr:colOff>
      <xdr:row>1</xdr:row>
      <xdr:rowOff>5386</xdr:rowOff>
    </xdr:to>
    <xdr:cxnSp macro="">
      <xdr:nvCxnSpPr>
        <xdr:cNvPr id="11" name="separator 2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CxnSpPr/>
      </xdr:nvCxnSpPr>
      <xdr:spPr>
        <a:xfrm>
          <a:off x="569249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198298</xdr:colOff>
      <xdr:row>0</xdr:row>
      <xdr:rowOff>0</xdr:rowOff>
    </xdr:from>
    <xdr:to>
      <xdr:col>10</xdr:col>
      <xdr:colOff>1602298</xdr:colOff>
      <xdr:row>0</xdr:row>
      <xdr:rowOff>216000</xdr:rowOff>
    </xdr:to>
    <xdr:sp macro="" textlink="">
      <xdr:nvSpPr>
        <xdr:cNvPr id="12" name="txtSection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 txBox="1"/>
      </xdr:nvSpPr>
      <xdr:spPr>
        <a:xfrm>
          <a:off x="4217848" y="0"/>
          <a:ext cx="1404000" cy="21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100"/>
            <a:t>SCN FUNC BATCHING</a:t>
          </a:r>
        </a:p>
      </xdr:txBody>
    </xdr:sp>
    <xdr:clientData/>
  </xdr:twoCellAnchor>
  <xdr:twoCellAnchor editAs="absolute">
    <xdr:from>
      <xdr:col>10</xdr:col>
      <xdr:colOff>104780</xdr:colOff>
      <xdr:row>0</xdr:row>
      <xdr:rowOff>0</xdr:rowOff>
    </xdr:from>
    <xdr:to>
      <xdr:col>10</xdr:col>
      <xdr:colOff>104780</xdr:colOff>
      <xdr:row>1</xdr:row>
      <xdr:rowOff>5386</xdr:rowOff>
    </xdr:to>
    <xdr:cxnSp macro="">
      <xdr:nvCxnSpPr>
        <xdr:cNvPr id="13" name="separator 1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CxnSpPr/>
      </xdr:nvCxnSpPr>
      <xdr:spPr>
        <a:xfrm>
          <a:off x="412433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2311401</xdr:colOff>
      <xdr:row>0</xdr:row>
      <xdr:rowOff>265215</xdr:rowOff>
    </xdr:from>
    <xdr:to>
      <xdr:col>10</xdr:col>
      <xdr:colOff>2737905</xdr:colOff>
      <xdr:row>0</xdr:row>
      <xdr:rowOff>792691</xdr:rowOff>
    </xdr:to>
    <xdr:pic macro="[0]!BatchSave">
      <xdr:nvPicPr>
        <xdr:cNvPr id="14" name="saveMap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330951" y="265215"/>
          <a:ext cx="426504" cy="527476"/>
        </a:xfrm>
        <a:prstGeom prst="rect">
          <a:avLst/>
        </a:prstGeom>
      </xdr:spPr>
    </xdr:pic>
    <xdr:clientData/>
  </xdr:twoCellAnchor>
  <xdr:twoCellAnchor editAs="absolute">
    <xdr:from>
      <xdr:col>10</xdr:col>
      <xdr:colOff>1818903</xdr:colOff>
      <xdr:row>0</xdr:row>
      <xdr:rowOff>277661</xdr:rowOff>
    </xdr:from>
    <xdr:to>
      <xdr:col>10</xdr:col>
      <xdr:colOff>2219326</xdr:colOff>
      <xdr:row>0</xdr:row>
      <xdr:rowOff>792691</xdr:rowOff>
    </xdr:to>
    <xdr:pic macro="[0]!BatchAdd">
      <xdr:nvPicPr>
        <xdr:cNvPr id="15" name="addMap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838453" y="277661"/>
          <a:ext cx="400423" cy="51503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0</xdr:row>
          <xdr:rowOff>85725</xdr:rowOff>
        </xdr:from>
        <xdr:to>
          <xdr:col>8</xdr:col>
          <xdr:colOff>1304925</xdr:colOff>
          <xdr:row>0</xdr:row>
          <xdr:rowOff>304800</xdr:rowOff>
        </xdr:to>
        <xdr:sp macro="" textlink="">
          <xdr:nvSpPr>
            <xdr:cNvPr id="11265" name="cboBatch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11</xdr:col>
      <xdr:colOff>663287</xdr:colOff>
      <xdr:row>0</xdr:row>
      <xdr:rowOff>0</xdr:rowOff>
    </xdr:from>
    <xdr:to>
      <xdr:col>11</xdr:col>
      <xdr:colOff>663287</xdr:colOff>
      <xdr:row>1</xdr:row>
      <xdr:rowOff>5386</xdr:rowOff>
    </xdr:to>
    <xdr:cxnSp macro="">
      <xdr:nvCxnSpPr>
        <xdr:cNvPr id="18" name="separator 4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CxnSpPr/>
      </xdr:nvCxnSpPr>
      <xdr:spPr>
        <a:xfrm>
          <a:off x="7730837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2986060</xdr:colOff>
      <xdr:row>0</xdr:row>
      <xdr:rowOff>252691</xdr:rowOff>
    </xdr:from>
    <xdr:to>
      <xdr:col>11</xdr:col>
      <xdr:colOff>614935</xdr:colOff>
      <xdr:row>0</xdr:row>
      <xdr:rowOff>792691</xdr:rowOff>
    </xdr:to>
    <xdr:pic macro="[0]!BatchRefresh">
      <xdr:nvPicPr>
        <xdr:cNvPr id="19" name="refreshBatch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05610" y="252691"/>
          <a:ext cx="676875" cy="540000"/>
        </a:xfrm>
        <a:prstGeom prst="rect">
          <a:avLst/>
        </a:prstGeom>
      </xdr:spPr>
    </xdr:pic>
    <xdr:clientData/>
  </xdr:twoCellAnchor>
  <xdr:twoCellAnchor editAs="absolute">
    <xdr:from>
      <xdr:col>10</xdr:col>
      <xdr:colOff>1188894</xdr:colOff>
      <xdr:row>0</xdr:row>
      <xdr:rowOff>252691</xdr:rowOff>
    </xdr:from>
    <xdr:to>
      <xdr:col>10</xdr:col>
      <xdr:colOff>1712548</xdr:colOff>
      <xdr:row>0</xdr:row>
      <xdr:rowOff>792691</xdr:rowOff>
    </xdr:to>
    <xdr:pic macro="[0]!BatchSelectScnId">
      <xdr:nvPicPr>
        <xdr:cNvPr id="20" name="selectBatchScn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08444" y="252691"/>
          <a:ext cx="523654" cy="540000"/>
        </a:xfrm>
        <a:prstGeom prst="rect">
          <a:avLst/>
        </a:prstGeom>
      </xdr:spPr>
    </xdr:pic>
    <xdr:clientData/>
  </xdr:twoCellAnchor>
  <xdr:twoCellAnchor editAs="absolute">
    <xdr:from>
      <xdr:col>10</xdr:col>
      <xdr:colOff>682592</xdr:colOff>
      <xdr:row>0</xdr:row>
      <xdr:rowOff>252691</xdr:rowOff>
    </xdr:from>
    <xdr:to>
      <xdr:col>10</xdr:col>
      <xdr:colOff>1118282</xdr:colOff>
      <xdr:row>0</xdr:row>
      <xdr:rowOff>792691</xdr:rowOff>
    </xdr:to>
    <xdr:pic macro="[0]!BatchCopyScnId">
      <xdr:nvPicPr>
        <xdr:cNvPr id="21" name="copyBatchScn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02142" y="252691"/>
          <a:ext cx="435690" cy="540000"/>
        </a:xfrm>
        <a:prstGeom prst="rect">
          <a:avLst/>
        </a:prstGeom>
      </xdr:spPr>
    </xdr:pic>
    <xdr:clientData/>
  </xdr:twoCellAnchor>
  <xdr:twoCellAnchor editAs="absolute">
    <xdr:from>
      <xdr:col>10</xdr:col>
      <xdr:colOff>171449</xdr:colOff>
      <xdr:row>0</xdr:row>
      <xdr:rowOff>219075</xdr:rowOff>
    </xdr:from>
    <xdr:to>
      <xdr:col>10</xdr:col>
      <xdr:colOff>619124</xdr:colOff>
      <xdr:row>0</xdr:row>
      <xdr:rowOff>792691</xdr:rowOff>
    </xdr:to>
    <xdr:pic macro="[0]!BatchNewScnId">
      <xdr:nvPicPr>
        <xdr:cNvPr id="22" name="newBatchScn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90999" y="219075"/>
          <a:ext cx="447675" cy="573616"/>
        </a:xfrm>
        <a:prstGeom prst="rect">
          <a:avLst/>
        </a:prstGeom>
      </xdr:spPr>
    </xdr:pic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95250</xdr:colOff>
      <xdr:row>0</xdr:row>
      <xdr:rowOff>47625</xdr:rowOff>
    </xdr:from>
    <xdr:to>
      <xdr:col>9</xdr:col>
      <xdr:colOff>671945</xdr:colOff>
      <xdr:row>0</xdr:row>
      <xdr:rowOff>355600</xdr:rowOff>
    </xdr:to>
    <xdr:sp macro="" textlink="">
      <xdr:nvSpPr>
        <xdr:cNvPr id="5" name="txtHeader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 txBox="1"/>
      </xdr:nvSpPr>
      <xdr:spPr>
        <a:xfrm>
          <a:off x="95250" y="47625"/>
          <a:ext cx="2367395" cy="307975"/>
        </a:xfrm>
        <a:prstGeom prst="rect">
          <a:avLst/>
        </a:prstGeom>
        <a:solidFill>
          <a:srgbClr val="0F161D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N" sz="1600">
              <a:solidFill>
                <a:schemeClr val="bg1"/>
              </a:solidFill>
              <a:latin typeface="+mn-lt"/>
              <a:cs typeface="Segoe UI Semibold" panose="020B0702040204020203" pitchFamily="34" charset="0"/>
            </a:rPr>
            <a:t>SCN STEPS GENERATOR</a:t>
          </a:r>
        </a:p>
      </xdr:txBody>
    </xdr:sp>
    <xdr:clientData fPrintsWithSheet="0"/>
  </xdr:twoCellAnchor>
  <xdr:twoCellAnchor editAs="absolute">
    <xdr:from>
      <xdr:col>7</xdr:col>
      <xdr:colOff>1174749</xdr:colOff>
      <xdr:row>0</xdr:row>
      <xdr:rowOff>428509</xdr:rowOff>
    </xdr:from>
    <xdr:to>
      <xdr:col>9</xdr:col>
      <xdr:colOff>2344016</xdr:colOff>
      <xdr:row>0</xdr:row>
      <xdr:rowOff>733309</xdr:rowOff>
    </xdr:to>
    <xdr:sp macro="" textlink="$B$5">
      <xdr:nvSpPr>
        <xdr:cNvPr id="6" name="dataLabel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 txBox="1"/>
      </xdr:nvSpPr>
      <xdr:spPr>
        <a:xfrm>
          <a:off x="1393824" y="428509"/>
          <a:ext cx="2740892" cy="304800"/>
        </a:xfrm>
        <a:prstGeom prst="rect">
          <a:avLst/>
        </a:prstGeom>
        <a:solidFill>
          <a:sysClr val="window" lastClr="FFFFFF"/>
        </a:solidFill>
        <a:ln w="9525" cmpd="sng">
          <a:solidFill>
            <a:schemeClr val="bg1">
              <a:lumMod val="8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BD1D6A0C-14C8-40A9-8825-A0FA31350970}" type="TxLink">
            <a:rPr lang="en-US" sz="1500" b="0" i="0" u="none" strike="noStrike">
              <a:solidFill>
                <a:schemeClr val="tx1">
                  <a:lumMod val="85000"/>
                  <a:lumOff val="15000"/>
                </a:schemeClr>
              </a:solidFill>
              <a:effectLst/>
              <a:latin typeface="Calibri"/>
              <a:ea typeface="Calibri"/>
              <a:cs typeface="Calibri"/>
            </a:rPr>
            <a:pPr algn="l"/>
            <a:t> </a:t>
          </a:fld>
          <a:endParaRPr lang="en-US" sz="1500" b="0" i="0" u="none" strike="noStrike">
            <a:solidFill>
              <a:schemeClr val="tx1">
                <a:lumMod val="85000"/>
                <a:lumOff val="15000"/>
              </a:schemeClr>
            </a:solidFill>
            <a:effectLst/>
            <a:latin typeface="+mn-lt"/>
            <a:ea typeface="Calibri"/>
            <a:cs typeface="Segoe UI Semilight" panose="020B0402040204020203" pitchFamily="34" charset="0"/>
          </a:endParaRPr>
        </a:p>
      </xdr:txBody>
    </xdr:sp>
    <xdr:clientData fPrintsWithSheet="0"/>
  </xdr:twoCellAnchor>
  <xdr:twoCellAnchor editAs="absolute">
    <xdr:from>
      <xdr:col>2</xdr:col>
      <xdr:colOff>28575</xdr:colOff>
      <xdr:row>0</xdr:row>
      <xdr:rowOff>428974</xdr:rowOff>
    </xdr:from>
    <xdr:to>
      <xdr:col>7</xdr:col>
      <xdr:colOff>1165343</xdr:colOff>
      <xdr:row>0</xdr:row>
      <xdr:rowOff>732845</xdr:rowOff>
    </xdr:to>
    <xdr:sp macro="" textlink="">
      <xdr:nvSpPr>
        <xdr:cNvPr id="7" name="txtLabel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 txBox="1"/>
      </xdr:nvSpPr>
      <xdr:spPr>
        <a:xfrm>
          <a:off x="28575" y="428974"/>
          <a:ext cx="1355843" cy="30387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bg1">
              <a:lumMod val="8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IN" sz="1400" b="0">
              <a:latin typeface="+mj-lt"/>
              <a:cs typeface="Segoe UI Semilight" panose="020B0402040204020203" pitchFamily="34" charset="0"/>
            </a:rPr>
            <a:t>SCREEN NAME :</a:t>
          </a:r>
        </a:p>
      </xdr:txBody>
    </xdr:sp>
    <xdr:clientData fPrintsWithSheet="0"/>
  </xdr:twoCellAnchor>
  <xdr:twoCellAnchor editAs="absolute">
    <xdr:from>
      <xdr:col>9</xdr:col>
      <xdr:colOff>904875</xdr:colOff>
      <xdr:row>0</xdr:row>
      <xdr:rowOff>69850</xdr:rowOff>
    </xdr:from>
    <xdr:to>
      <xdr:col>9</xdr:col>
      <xdr:colOff>1804988</xdr:colOff>
      <xdr:row>0</xdr:row>
      <xdr:rowOff>321881</xdr:rowOff>
    </xdr:to>
    <xdr:sp macro="dbConnect" textlink="">
      <xdr:nvSpPr>
        <xdr:cNvPr id="8" name="ConnectionStatus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2695575" y="69850"/>
          <a:ext cx="900113" cy="252031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50" b="0">
              <a:solidFill>
                <a:srgbClr val="FFFFFF"/>
              </a:solidFill>
              <a:latin typeface="Consolas" panose="020B0609020204030204" pitchFamily="49" charset="0"/>
              <a:cs typeface="Segoe UI" panose="020B0502040204020203" pitchFamily="34" charset="0"/>
            </a:rPr>
            <a:t>DB Status</a:t>
          </a:r>
        </a:p>
      </xdr:txBody>
    </xdr:sp>
    <xdr:clientData fPrintsWithSheet="0"/>
  </xdr:twoCellAnchor>
  <xdr:twoCellAnchor editAs="absolute">
    <xdr:from>
      <xdr:col>11</xdr:col>
      <xdr:colOff>2497285</xdr:colOff>
      <xdr:row>0</xdr:row>
      <xdr:rowOff>0</xdr:rowOff>
    </xdr:from>
    <xdr:to>
      <xdr:col>11</xdr:col>
      <xdr:colOff>2497285</xdr:colOff>
      <xdr:row>1</xdr:row>
      <xdr:rowOff>5386</xdr:rowOff>
    </xdr:to>
    <xdr:cxnSp macro="">
      <xdr:nvCxnSpPr>
        <xdr:cNvPr id="10" name="separator 3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CxnSpPr/>
      </xdr:nvCxnSpPr>
      <xdr:spPr>
        <a:xfrm>
          <a:off x="700261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1114804</xdr:colOff>
      <xdr:row>0</xdr:row>
      <xdr:rowOff>250698</xdr:rowOff>
    </xdr:from>
    <xdr:to>
      <xdr:col>11</xdr:col>
      <xdr:colOff>1547658</xdr:colOff>
      <xdr:row>0</xdr:row>
      <xdr:rowOff>774999</xdr:rowOff>
    </xdr:to>
    <xdr:pic macro="[0]!ScnStepsSave">
      <xdr:nvPicPr>
        <xdr:cNvPr id="11" name="saveOR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20129" y="250698"/>
          <a:ext cx="432854" cy="524301"/>
        </a:xfrm>
        <a:prstGeom prst="rect">
          <a:avLst/>
        </a:prstGeom>
      </xdr:spPr>
    </xdr:pic>
    <xdr:clientData/>
  </xdr:twoCellAnchor>
  <xdr:twoCellAnchor editAs="absolute">
    <xdr:from>
      <xdr:col>11</xdr:col>
      <xdr:colOff>1682465</xdr:colOff>
      <xdr:row>0</xdr:row>
      <xdr:rowOff>19050</xdr:rowOff>
    </xdr:from>
    <xdr:to>
      <xdr:col>11</xdr:col>
      <xdr:colOff>1682465</xdr:colOff>
      <xdr:row>2</xdr:row>
      <xdr:rowOff>5386</xdr:rowOff>
    </xdr:to>
    <xdr:cxnSp macro="">
      <xdr:nvCxnSpPr>
        <xdr:cNvPr id="13" name="separator 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CxnSpPr/>
      </xdr:nvCxnSpPr>
      <xdr:spPr>
        <a:xfrm>
          <a:off x="6187790" y="1905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284023</xdr:colOff>
      <xdr:row>0</xdr:row>
      <xdr:rowOff>1</xdr:rowOff>
    </xdr:from>
    <xdr:to>
      <xdr:col>11</xdr:col>
      <xdr:colOff>1066800</xdr:colOff>
      <xdr:row>0</xdr:row>
      <xdr:rowOff>219075</xdr:rowOff>
    </xdr:to>
    <xdr:sp macro="" textlink="">
      <xdr:nvSpPr>
        <xdr:cNvPr id="17" name="txtSection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 txBox="1"/>
      </xdr:nvSpPr>
      <xdr:spPr>
        <a:xfrm>
          <a:off x="4789348" y="1"/>
          <a:ext cx="782777" cy="2190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100"/>
            <a:t>SCN STEPS</a:t>
          </a:r>
        </a:p>
      </xdr:txBody>
    </xdr:sp>
    <xdr:clientData/>
  </xdr:twoCellAnchor>
  <xdr:twoCellAnchor editAs="absolute">
    <xdr:from>
      <xdr:col>9</xdr:col>
      <xdr:colOff>2333630</xdr:colOff>
      <xdr:row>0</xdr:row>
      <xdr:rowOff>0</xdr:rowOff>
    </xdr:from>
    <xdr:to>
      <xdr:col>9</xdr:col>
      <xdr:colOff>2333630</xdr:colOff>
      <xdr:row>1</xdr:row>
      <xdr:rowOff>5386</xdr:rowOff>
    </xdr:to>
    <xdr:cxnSp macro="">
      <xdr:nvCxnSpPr>
        <xdr:cNvPr id="18" name="separator 1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CxnSpPr/>
      </xdr:nvCxnSpPr>
      <xdr:spPr>
        <a:xfrm>
          <a:off x="412433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479425</xdr:colOff>
      <xdr:row>0</xdr:row>
      <xdr:rowOff>249399</xdr:rowOff>
    </xdr:from>
    <xdr:to>
      <xdr:col>11</xdr:col>
      <xdr:colOff>949325</xdr:colOff>
      <xdr:row>0</xdr:row>
      <xdr:rowOff>774999</xdr:rowOff>
    </xdr:to>
    <xdr:pic macro="[0]!ScnStepsSelectScnId">
      <xdr:nvPicPr>
        <xdr:cNvPr id="19" name="selectScnSteps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2534" r="13198"/>
        <a:stretch/>
      </xdr:blipFill>
      <xdr:spPr>
        <a:xfrm>
          <a:off x="4984750" y="249399"/>
          <a:ext cx="469900" cy="525600"/>
        </a:xfrm>
        <a:prstGeom prst="rect">
          <a:avLst/>
        </a:prstGeom>
      </xdr:spPr>
    </xdr:pic>
    <xdr:clientData/>
  </xdr:twoCellAnchor>
  <xdr:twoCellAnchor editAs="absolute">
    <xdr:from>
      <xdr:col>9</xdr:col>
      <xdr:colOff>2457450</xdr:colOff>
      <xdr:row>0</xdr:row>
      <xdr:rowOff>249399</xdr:rowOff>
    </xdr:from>
    <xdr:to>
      <xdr:col>11</xdr:col>
      <xdr:colOff>315939</xdr:colOff>
      <xdr:row>0</xdr:row>
      <xdr:rowOff>774999</xdr:rowOff>
    </xdr:to>
    <xdr:pic macro="[0]!ScnStepsGenerate">
      <xdr:nvPicPr>
        <xdr:cNvPr id="20" name="generateSteps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48150" y="249399"/>
          <a:ext cx="573114" cy="525600"/>
        </a:xfrm>
        <a:prstGeom prst="rect">
          <a:avLst/>
        </a:prstGeom>
      </xdr:spPr>
    </xdr:pic>
    <xdr:clientData/>
  </xdr:twoCellAnchor>
  <xdr:twoCellAnchor editAs="absolute">
    <xdr:from>
      <xdr:col>11</xdr:col>
      <xdr:colOff>1781175</xdr:colOff>
      <xdr:row>0</xdr:row>
      <xdr:rowOff>257175</xdr:rowOff>
    </xdr:from>
    <xdr:to>
      <xdr:col>11</xdr:col>
      <xdr:colOff>2434172</xdr:colOff>
      <xdr:row>0</xdr:row>
      <xdr:rowOff>778125</xdr:rowOff>
    </xdr:to>
    <xdr:pic macro="[0]!ScnStepsRefresh">
      <xdr:nvPicPr>
        <xdr:cNvPr id="21" name="refreshMap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286500" y="257175"/>
          <a:ext cx="652997" cy="52095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95250</xdr:colOff>
      <xdr:row>0</xdr:row>
      <xdr:rowOff>47625</xdr:rowOff>
    </xdr:from>
    <xdr:to>
      <xdr:col>8</xdr:col>
      <xdr:colOff>548120</xdr:colOff>
      <xdr:row>0</xdr:row>
      <xdr:rowOff>355600</xdr:rowOff>
    </xdr:to>
    <xdr:sp macro="" textlink="">
      <xdr:nvSpPr>
        <xdr:cNvPr id="5" name="txtHeader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 txBox="1"/>
      </xdr:nvSpPr>
      <xdr:spPr>
        <a:xfrm>
          <a:off x="95250" y="47625"/>
          <a:ext cx="2367395" cy="307975"/>
        </a:xfrm>
        <a:prstGeom prst="rect">
          <a:avLst/>
        </a:prstGeom>
        <a:solidFill>
          <a:srgbClr val="0F161D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N" sz="1600">
              <a:solidFill>
                <a:schemeClr val="bg1"/>
              </a:solidFill>
              <a:latin typeface="+mn-lt"/>
              <a:cs typeface="Segoe UI Semibold" panose="020B0702040204020203" pitchFamily="34" charset="0"/>
            </a:rPr>
            <a:t>RUN TIME DATA</a:t>
          </a:r>
        </a:p>
      </xdr:txBody>
    </xdr:sp>
    <xdr:clientData fPrintsWithSheet="0"/>
  </xdr:twoCellAnchor>
  <xdr:twoCellAnchor editAs="absolute">
    <xdr:from>
      <xdr:col>8</xdr:col>
      <xdr:colOff>781050</xdr:colOff>
      <xdr:row>0</xdr:row>
      <xdr:rowOff>69850</xdr:rowOff>
    </xdr:from>
    <xdr:to>
      <xdr:col>8</xdr:col>
      <xdr:colOff>1681163</xdr:colOff>
      <xdr:row>0</xdr:row>
      <xdr:rowOff>321881</xdr:rowOff>
    </xdr:to>
    <xdr:sp macro="dbConnect" textlink="">
      <xdr:nvSpPr>
        <xdr:cNvPr id="6" name="ConnectionStatus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2695575" y="69850"/>
          <a:ext cx="900113" cy="252031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50" b="0">
              <a:solidFill>
                <a:srgbClr val="FFFFFF"/>
              </a:solidFill>
              <a:latin typeface="Consolas" panose="020B0609020204030204" pitchFamily="49" charset="0"/>
              <a:cs typeface="Segoe UI" panose="020B0502040204020203" pitchFamily="34" charset="0"/>
            </a:rPr>
            <a:t>DB Status</a:t>
          </a:r>
        </a:p>
      </xdr:txBody>
    </xdr:sp>
    <xdr:clientData fPrintsWithSheet="0"/>
  </xdr:twoCellAnchor>
  <xdr:twoCellAnchor editAs="absolute">
    <xdr:from>
      <xdr:col>9</xdr:col>
      <xdr:colOff>935185</xdr:colOff>
      <xdr:row>0</xdr:row>
      <xdr:rowOff>0</xdr:rowOff>
    </xdr:from>
    <xdr:to>
      <xdr:col>9</xdr:col>
      <xdr:colOff>935185</xdr:colOff>
      <xdr:row>1</xdr:row>
      <xdr:rowOff>5386</xdr:rowOff>
    </xdr:to>
    <xdr:cxnSp macro="">
      <xdr:nvCxnSpPr>
        <xdr:cNvPr id="8" name="separator 3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CxnSpPr/>
      </xdr:nvCxnSpPr>
      <xdr:spPr>
        <a:xfrm>
          <a:off x="5678635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129890</xdr:colOff>
      <xdr:row>0</xdr:row>
      <xdr:rowOff>0</xdr:rowOff>
    </xdr:from>
    <xdr:to>
      <xdr:col>9</xdr:col>
      <xdr:colOff>129890</xdr:colOff>
      <xdr:row>1</xdr:row>
      <xdr:rowOff>5386</xdr:rowOff>
    </xdr:to>
    <xdr:cxnSp macro="">
      <xdr:nvCxnSpPr>
        <xdr:cNvPr id="9" name="separator 2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CxnSpPr/>
      </xdr:nvCxnSpPr>
      <xdr:spPr>
        <a:xfrm>
          <a:off x="487334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1165224</xdr:colOff>
      <xdr:row>0</xdr:row>
      <xdr:rowOff>438150</xdr:rowOff>
    </xdr:from>
    <xdr:to>
      <xdr:col>8</xdr:col>
      <xdr:colOff>2210666</xdr:colOff>
      <xdr:row>0</xdr:row>
      <xdr:rowOff>742950</xdr:rowOff>
    </xdr:to>
    <xdr:sp macro="" textlink="$B$5">
      <xdr:nvSpPr>
        <xdr:cNvPr id="14" name="dataLabel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SpPr txBox="1"/>
      </xdr:nvSpPr>
      <xdr:spPr>
        <a:xfrm>
          <a:off x="1384299" y="438150"/>
          <a:ext cx="2740892" cy="304800"/>
        </a:xfrm>
        <a:prstGeom prst="rect">
          <a:avLst/>
        </a:prstGeom>
        <a:solidFill>
          <a:sysClr val="window" lastClr="FFFFFF"/>
        </a:solidFill>
        <a:ln w="9525" cmpd="sng">
          <a:solidFill>
            <a:schemeClr val="bg1">
              <a:lumMod val="8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BD1D6A0C-14C8-40A9-8825-A0FA31350970}" type="TxLink">
            <a:rPr lang="en-US" sz="1500" b="0" i="0" u="none" strike="noStrike">
              <a:solidFill>
                <a:schemeClr val="tx1">
                  <a:lumMod val="85000"/>
                  <a:lumOff val="15000"/>
                </a:schemeClr>
              </a:solidFill>
              <a:effectLst/>
              <a:latin typeface="Calibri"/>
              <a:ea typeface="Calibri"/>
              <a:cs typeface="Calibri"/>
            </a:rPr>
            <a:pPr algn="l"/>
            <a:t> </a:t>
          </a:fld>
          <a:endParaRPr lang="en-US" sz="1500" b="0" i="0" u="none" strike="noStrike">
            <a:solidFill>
              <a:schemeClr val="tx1">
                <a:lumMod val="85000"/>
                <a:lumOff val="15000"/>
              </a:schemeClr>
            </a:solidFill>
            <a:effectLst/>
            <a:latin typeface="+mn-lt"/>
            <a:ea typeface="Calibri"/>
            <a:cs typeface="Segoe UI Semilight" panose="020B0402040204020203" pitchFamily="34" charset="0"/>
          </a:endParaRPr>
        </a:p>
      </xdr:txBody>
    </xdr:sp>
    <xdr:clientData fPrintsWithSheet="0"/>
  </xdr:twoCellAnchor>
  <xdr:twoCellAnchor editAs="absolute">
    <xdr:from>
      <xdr:col>2</xdr:col>
      <xdr:colOff>19050</xdr:colOff>
      <xdr:row>0</xdr:row>
      <xdr:rowOff>438615</xdr:rowOff>
    </xdr:from>
    <xdr:to>
      <xdr:col>7</xdr:col>
      <xdr:colOff>1155818</xdr:colOff>
      <xdr:row>0</xdr:row>
      <xdr:rowOff>742486</xdr:rowOff>
    </xdr:to>
    <xdr:sp macro="" textlink="">
      <xdr:nvSpPr>
        <xdr:cNvPr id="15" name="txtLabel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SpPr txBox="1"/>
      </xdr:nvSpPr>
      <xdr:spPr>
        <a:xfrm>
          <a:off x="19050" y="438615"/>
          <a:ext cx="1355843" cy="30387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bg1">
              <a:lumMod val="8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IN" sz="1400" b="0">
              <a:latin typeface="+mj-lt"/>
              <a:cs typeface="Segoe UI Semilight" panose="020B0402040204020203" pitchFamily="34" charset="0"/>
            </a:rPr>
            <a:t>SCENARIO ID :</a:t>
          </a:r>
        </a:p>
      </xdr:txBody>
    </xdr:sp>
    <xdr:clientData fPrintsWithSheet="0"/>
  </xdr:twoCellAnchor>
  <xdr:twoCellAnchor editAs="absolute">
    <xdr:from>
      <xdr:col>8</xdr:col>
      <xdr:colOff>2209805</xdr:colOff>
      <xdr:row>0</xdr:row>
      <xdr:rowOff>0</xdr:rowOff>
    </xdr:from>
    <xdr:to>
      <xdr:col>8</xdr:col>
      <xdr:colOff>2209805</xdr:colOff>
      <xdr:row>1</xdr:row>
      <xdr:rowOff>5386</xdr:rowOff>
    </xdr:to>
    <xdr:cxnSp macro="">
      <xdr:nvCxnSpPr>
        <xdr:cNvPr id="10" name="separator 1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CxnSpPr/>
      </xdr:nvCxnSpPr>
      <xdr:spPr>
        <a:xfrm>
          <a:off x="412433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2333625</xdr:colOff>
      <xdr:row>0</xdr:row>
      <xdr:rowOff>209550</xdr:rowOff>
    </xdr:from>
    <xdr:to>
      <xdr:col>8</xdr:col>
      <xdr:colOff>2803525</xdr:colOff>
      <xdr:row>0</xdr:row>
      <xdr:rowOff>749550</xdr:rowOff>
    </xdr:to>
    <xdr:pic macro="[0]!RunDataSelectScnId">
      <xdr:nvPicPr>
        <xdr:cNvPr id="17" name="selectScnIdRunData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2534" r="13198"/>
        <a:stretch/>
      </xdr:blipFill>
      <xdr:spPr>
        <a:xfrm>
          <a:off x="4248150" y="209550"/>
          <a:ext cx="469900" cy="540000"/>
        </a:xfrm>
        <a:prstGeom prst="rect">
          <a:avLst/>
        </a:prstGeom>
      </xdr:spPr>
    </xdr:pic>
    <xdr:clientData/>
  </xdr:twoCellAnchor>
  <xdr:twoCellAnchor editAs="absolute">
    <xdr:from>
      <xdr:col>9</xdr:col>
      <xdr:colOff>247650</xdr:colOff>
      <xdr:row>0</xdr:row>
      <xdr:rowOff>228600</xdr:rowOff>
    </xdr:from>
    <xdr:to>
      <xdr:col>9</xdr:col>
      <xdr:colOff>900647</xdr:colOff>
      <xdr:row>0</xdr:row>
      <xdr:rowOff>749550</xdr:rowOff>
    </xdr:to>
    <xdr:pic macro="[0]!RunDataRefresh">
      <xdr:nvPicPr>
        <xdr:cNvPr id="18" name="refreshMap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991100" y="228600"/>
          <a:ext cx="652997" cy="52095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43350</xdr:colOff>
      <xdr:row>4</xdr:row>
      <xdr:rowOff>14775</xdr:rowOff>
    </xdr:from>
    <xdr:to>
      <xdr:col>3</xdr:col>
      <xdr:colOff>223350</xdr:colOff>
      <xdr:row>4</xdr:row>
      <xdr:rowOff>194775</xdr:rowOff>
    </xdr:to>
    <xdr:pic macro="[0]!RunChartDelete">
      <xdr:nvPicPr>
        <xdr:cNvPr id="2" name="btnDelete" hidden="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2425" y="118635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4</xdr:col>
      <xdr:colOff>43350</xdr:colOff>
      <xdr:row>4</xdr:row>
      <xdr:rowOff>14775</xdr:rowOff>
    </xdr:from>
    <xdr:to>
      <xdr:col>4</xdr:col>
      <xdr:colOff>223350</xdr:colOff>
      <xdr:row>4</xdr:row>
      <xdr:rowOff>194775</xdr:rowOff>
    </xdr:to>
    <xdr:pic macro="[0]!RunChartEdit">
      <xdr:nvPicPr>
        <xdr:cNvPr id="3" name="btnEdit" hidden="1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9125" y="118635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5</xdr:col>
      <xdr:colOff>43350</xdr:colOff>
      <xdr:row>4</xdr:row>
      <xdr:rowOff>14775</xdr:rowOff>
    </xdr:from>
    <xdr:to>
      <xdr:col>5</xdr:col>
      <xdr:colOff>223350</xdr:colOff>
      <xdr:row>4</xdr:row>
      <xdr:rowOff>194775</xdr:rowOff>
    </xdr:to>
    <xdr:pic macro="[0]!RunChartCancel">
      <xdr:nvPicPr>
        <xdr:cNvPr id="4" name="btnCancel" hidden="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95825" y="118635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2</xdr:col>
      <xdr:colOff>95250</xdr:colOff>
      <xdr:row>0</xdr:row>
      <xdr:rowOff>47625</xdr:rowOff>
    </xdr:from>
    <xdr:to>
      <xdr:col>8</xdr:col>
      <xdr:colOff>1443470</xdr:colOff>
      <xdr:row>0</xdr:row>
      <xdr:rowOff>355600</xdr:rowOff>
    </xdr:to>
    <xdr:sp macro="" textlink="">
      <xdr:nvSpPr>
        <xdr:cNvPr id="5" name="txtHeader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 txBox="1"/>
      </xdr:nvSpPr>
      <xdr:spPr>
        <a:xfrm>
          <a:off x="95250" y="47625"/>
          <a:ext cx="2367395" cy="307975"/>
        </a:xfrm>
        <a:prstGeom prst="rect">
          <a:avLst/>
        </a:prstGeom>
        <a:solidFill>
          <a:srgbClr val="0F161D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N" sz="1600">
              <a:solidFill>
                <a:schemeClr val="bg1"/>
              </a:solidFill>
              <a:latin typeface="+mn-lt"/>
              <a:cs typeface="Segoe UI Semibold" panose="020B0702040204020203" pitchFamily="34" charset="0"/>
            </a:rPr>
            <a:t>RUN CHART</a:t>
          </a:r>
        </a:p>
      </xdr:txBody>
    </xdr:sp>
    <xdr:clientData fPrintsWithSheet="0"/>
  </xdr:twoCellAnchor>
  <xdr:twoCellAnchor editAs="absolute">
    <xdr:from>
      <xdr:col>8</xdr:col>
      <xdr:colOff>1676400</xdr:colOff>
      <xdr:row>0</xdr:row>
      <xdr:rowOff>69850</xdr:rowOff>
    </xdr:from>
    <xdr:to>
      <xdr:col>9</xdr:col>
      <xdr:colOff>566738</xdr:colOff>
      <xdr:row>0</xdr:row>
      <xdr:rowOff>321881</xdr:rowOff>
    </xdr:to>
    <xdr:sp macro="dbConnect" textlink="">
      <xdr:nvSpPr>
        <xdr:cNvPr id="6" name="ConnectionStatus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>
          <a:off x="2695575" y="69850"/>
          <a:ext cx="900113" cy="252031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50" b="0">
              <a:solidFill>
                <a:srgbClr val="FFFFFF"/>
              </a:solidFill>
              <a:latin typeface="Consolas" panose="020B0609020204030204" pitchFamily="49" charset="0"/>
              <a:cs typeface="Segoe UI" panose="020B0502040204020203" pitchFamily="34" charset="0"/>
            </a:rPr>
            <a:t>DB Status</a:t>
          </a:r>
        </a:p>
      </xdr:txBody>
    </xdr:sp>
    <xdr:clientData fPrintsWithSheet="0"/>
  </xdr:twoCellAnchor>
  <xdr:twoCellAnchor editAs="absolute">
    <xdr:from>
      <xdr:col>9</xdr:col>
      <xdr:colOff>2246173</xdr:colOff>
      <xdr:row>0</xdr:row>
      <xdr:rowOff>0</xdr:rowOff>
    </xdr:from>
    <xdr:to>
      <xdr:col>9</xdr:col>
      <xdr:colOff>2800350</xdr:colOff>
      <xdr:row>0</xdr:row>
      <xdr:rowOff>200025</xdr:rowOff>
    </xdr:to>
    <xdr:sp macro="" textlink="">
      <xdr:nvSpPr>
        <xdr:cNvPr id="7" name="txtSection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 txBox="1"/>
      </xdr:nvSpPr>
      <xdr:spPr>
        <a:xfrm>
          <a:off x="5275123" y="0"/>
          <a:ext cx="554177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100"/>
            <a:t>DATA</a:t>
          </a:r>
        </a:p>
      </xdr:txBody>
    </xdr:sp>
    <xdr:clientData/>
  </xdr:twoCellAnchor>
  <xdr:twoCellAnchor editAs="absolute">
    <xdr:from>
      <xdr:col>10</xdr:col>
      <xdr:colOff>297010</xdr:colOff>
      <xdr:row>0</xdr:row>
      <xdr:rowOff>0</xdr:rowOff>
    </xdr:from>
    <xdr:to>
      <xdr:col>10</xdr:col>
      <xdr:colOff>297010</xdr:colOff>
      <xdr:row>1</xdr:row>
      <xdr:rowOff>5386</xdr:rowOff>
    </xdr:to>
    <xdr:cxnSp macro="">
      <xdr:nvCxnSpPr>
        <xdr:cNvPr id="8" name="separator 3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CxnSpPr/>
      </xdr:nvCxnSpPr>
      <xdr:spPr>
        <a:xfrm>
          <a:off x="6135835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1844390</xdr:colOff>
      <xdr:row>0</xdr:row>
      <xdr:rowOff>0</xdr:rowOff>
    </xdr:from>
    <xdr:to>
      <xdr:col>9</xdr:col>
      <xdr:colOff>1844390</xdr:colOff>
      <xdr:row>1</xdr:row>
      <xdr:rowOff>5386</xdr:rowOff>
    </xdr:to>
    <xdr:cxnSp macro="">
      <xdr:nvCxnSpPr>
        <xdr:cNvPr id="9" name="separator 2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CxnSpPr/>
      </xdr:nvCxnSpPr>
      <xdr:spPr>
        <a:xfrm>
          <a:off x="487334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1095380</xdr:colOff>
      <xdr:row>0</xdr:row>
      <xdr:rowOff>0</xdr:rowOff>
    </xdr:from>
    <xdr:to>
      <xdr:col>9</xdr:col>
      <xdr:colOff>1095380</xdr:colOff>
      <xdr:row>1</xdr:row>
      <xdr:rowOff>5386</xdr:rowOff>
    </xdr:to>
    <xdr:cxnSp macro="">
      <xdr:nvCxnSpPr>
        <xdr:cNvPr id="10" name="separator 1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CxnSpPr/>
      </xdr:nvCxnSpPr>
      <xdr:spPr>
        <a:xfrm>
          <a:off x="412433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2505075</xdr:colOff>
      <xdr:row>0</xdr:row>
      <xdr:rowOff>228600</xdr:rowOff>
    </xdr:from>
    <xdr:to>
      <xdr:col>10</xdr:col>
      <xdr:colOff>141015</xdr:colOff>
      <xdr:row>0</xdr:row>
      <xdr:rowOff>768600</xdr:rowOff>
    </xdr:to>
    <xdr:pic macro="[0]!RunChartSave">
      <xdr:nvPicPr>
        <xdr:cNvPr id="11" name="saveCData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534025" y="228600"/>
          <a:ext cx="445815" cy="540000"/>
        </a:xfrm>
        <a:prstGeom prst="rect">
          <a:avLst/>
        </a:prstGeom>
      </xdr:spPr>
    </xdr:pic>
    <xdr:clientData/>
  </xdr:twoCellAnchor>
  <xdr:twoCellAnchor editAs="absolute">
    <xdr:from>
      <xdr:col>9</xdr:col>
      <xdr:colOff>1971301</xdr:colOff>
      <xdr:row>0</xdr:row>
      <xdr:rowOff>228600</xdr:rowOff>
    </xdr:from>
    <xdr:to>
      <xdr:col>9</xdr:col>
      <xdr:colOff>2390596</xdr:colOff>
      <xdr:row>0</xdr:row>
      <xdr:rowOff>768600</xdr:rowOff>
    </xdr:to>
    <xdr:pic macro="[0]!RunChartAdd">
      <xdr:nvPicPr>
        <xdr:cNvPr id="12" name="addCData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000251" y="228600"/>
          <a:ext cx="419295" cy="540000"/>
        </a:xfrm>
        <a:prstGeom prst="rect">
          <a:avLst/>
        </a:prstGeom>
      </xdr:spPr>
    </xdr:pic>
    <xdr:clientData/>
  </xdr:twoCellAnchor>
  <xdr:twoCellAnchor editAs="absolute">
    <xdr:from>
      <xdr:col>9</xdr:col>
      <xdr:colOff>1228725</xdr:colOff>
      <xdr:row>0</xdr:row>
      <xdr:rowOff>219074</xdr:rowOff>
    </xdr:from>
    <xdr:to>
      <xdr:col>9</xdr:col>
      <xdr:colOff>1733550</xdr:colOff>
      <xdr:row>1</xdr:row>
      <xdr:rowOff>6989</xdr:rowOff>
    </xdr:to>
    <xdr:pic macro="[0]!RunChartFetch">
      <xdr:nvPicPr>
        <xdr:cNvPr id="13" name="viewCData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257675" y="219074"/>
          <a:ext cx="504825" cy="607065"/>
        </a:xfrm>
        <a:prstGeom prst="rect">
          <a:avLst/>
        </a:prstGeom>
      </xdr:spPr>
    </xdr:pic>
    <xdr:clientData/>
  </xdr:twoCellAnchor>
  <xdr:twoCellAnchor editAs="absolute">
    <xdr:from>
      <xdr:col>10</xdr:col>
      <xdr:colOff>371475</xdr:colOff>
      <xdr:row>0</xdr:row>
      <xdr:rowOff>200025</xdr:rowOff>
    </xdr:from>
    <xdr:to>
      <xdr:col>10</xdr:col>
      <xdr:colOff>975031</xdr:colOff>
      <xdr:row>0</xdr:row>
      <xdr:rowOff>809678</xdr:rowOff>
    </xdr:to>
    <xdr:pic macro="[0]!RunChartExecute">
      <xdr:nvPicPr>
        <xdr:cNvPr id="18" name="Picture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10300" y="200025"/>
          <a:ext cx="603556" cy="609653"/>
        </a:xfrm>
        <a:prstGeom prst="rect">
          <a:avLst/>
        </a:prstGeom>
      </xdr:spPr>
    </xdr:pic>
    <xdr:clientData/>
  </xdr:twoCellAnchor>
  <xdr:twoCellAnchor editAs="absolute">
    <xdr:from>
      <xdr:col>10</xdr:col>
      <xdr:colOff>1640035</xdr:colOff>
      <xdr:row>0</xdr:row>
      <xdr:rowOff>9525</xdr:rowOff>
    </xdr:from>
    <xdr:to>
      <xdr:col>10</xdr:col>
      <xdr:colOff>1640035</xdr:colOff>
      <xdr:row>1</xdr:row>
      <xdr:rowOff>14911</xdr:rowOff>
    </xdr:to>
    <xdr:cxnSp macro="">
      <xdr:nvCxnSpPr>
        <xdr:cNvPr id="19" name="separator 3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CxnSpPr/>
      </xdr:nvCxnSpPr>
      <xdr:spPr>
        <a:xfrm>
          <a:off x="7478860" y="9525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1000125</xdr:colOff>
      <xdr:row>0</xdr:row>
      <xdr:rowOff>239241</xdr:rowOff>
    </xdr:from>
    <xdr:to>
      <xdr:col>10</xdr:col>
      <xdr:colOff>1619251</xdr:colOff>
      <xdr:row>0</xdr:row>
      <xdr:rowOff>781863</xdr:rowOff>
    </xdr:to>
    <xdr:pic macro="[0]!RunChartReport">
      <xdr:nvPicPr>
        <xdr:cNvPr id="20" name="Picture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838950" y="239241"/>
          <a:ext cx="619126" cy="542622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43350</xdr:colOff>
      <xdr:row>4</xdr:row>
      <xdr:rowOff>14775</xdr:rowOff>
    </xdr:from>
    <xdr:to>
      <xdr:col>3</xdr:col>
      <xdr:colOff>223350</xdr:colOff>
      <xdr:row>4</xdr:row>
      <xdr:rowOff>194775</xdr:rowOff>
    </xdr:to>
    <xdr:pic macro="[0]!CDataDelete">
      <xdr:nvPicPr>
        <xdr:cNvPr id="2" name="btnDelete" hidden="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2425" y="118635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4</xdr:col>
      <xdr:colOff>43350</xdr:colOff>
      <xdr:row>4</xdr:row>
      <xdr:rowOff>14775</xdr:rowOff>
    </xdr:from>
    <xdr:to>
      <xdr:col>4</xdr:col>
      <xdr:colOff>223350</xdr:colOff>
      <xdr:row>4</xdr:row>
      <xdr:rowOff>194775</xdr:rowOff>
    </xdr:to>
    <xdr:pic macro="[0]!CDataEdit">
      <xdr:nvPicPr>
        <xdr:cNvPr id="3" name="btnEdit" hidden="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9125" y="118635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5</xdr:col>
      <xdr:colOff>43350</xdr:colOff>
      <xdr:row>7</xdr:row>
      <xdr:rowOff>14775</xdr:rowOff>
    </xdr:from>
    <xdr:to>
      <xdr:col>5</xdr:col>
      <xdr:colOff>223350</xdr:colOff>
      <xdr:row>7</xdr:row>
      <xdr:rowOff>194775</xdr:rowOff>
    </xdr:to>
    <xdr:pic macro="[0]!CDataCancel">
      <xdr:nvPicPr>
        <xdr:cNvPr id="4" name="btnCancel" hidden="1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95825" y="181500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2</xdr:col>
      <xdr:colOff>95250</xdr:colOff>
      <xdr:row>0</xdr:row>
      <xdr:rowOff>47625</xdr:rowOff>
    </xdr:from>
    <xdr:to>
      <xdr:col>8</xdr:col>
      <xdr:colOff>1443470</xdr:colOff>
      <xdr:row>0</xdr:row>
      <xdr:rowOff>355600</xdr:rowOff>
    </xdr:to>
    <xdr:sp macro="" textlink="">
      <xdr:nvSpPr>
        <xdr:cNvPr id="5" name="txtHeader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 txBox="1"/>
      </xdr:nvSpPr>
      <xdr:spPr>
        <a:xfrm>
          <a:off x="95250" y="47625"/>
          <a:ext cx="2367395" cy="307975"/>
        </a:xfrm>
        <a:prstGeom prst="rect">
          <a:avLst/>
        </a:prstGeom>
        <a:solidFill>
          <a:srgbClr val="0F161D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N" sz="1600">
              <a:solidFill>
                <a:schemeClr val="bg1"/>
              </a:solidFill>
              <a:latin typeface="+mn-lt"/>
              <a:cs typeface="Segoe UI Semibold" panose="020B0702040204020203" pitchFamily="34" charset="0"/>
            </a:rPr>
            <a:t>COMMON DATA</a:t>
          </a:r>
        </a:p>
      </xdr:txBody>
    </xdr:sp>
    <xdr:clientData fPrintsWithSheet="0"/>
  </xdr:twoCellAnchor>
  <xdr:twoCellAnchor editAs="absolute">
    <xdr:from>
      <xdr:col>8</xdr:col>
      <xdr:colOff>1676400</xdr:colOff>
      <xdr:row>0</xdr:row>
      <xdr:rowOff>69850</xdr:rowOff>
    </xdr:from>
    <xdr:to>
      <xdr:col>9</xdr:col>
      <xdr:colOff>566738</xdr:colOff>
      <xdr:row>0</xdr:row>
      <xdr:rowOff>321881</xdr:rowOff>
    </xdr:to>
    <xdr:sp macro="dbConnect" textlink="">
      <xdr:nvSpPr>
        <xdr:cNvPr id="6" name="ConnectionStatus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/>
      </xdr:nvSpPr>
      <xdr:spPr>
        <a:xfrm>
          <a:off x="2695575" y="69850"/>
          <a:ext cx="900113" cy="252031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50" b="0">
              <a:solidFill>
                <a:srgbClr val="FFFFFF"/>
              </a:solidFill>
              <a:latin typeface="Consolas" panose="020B0609020204030204" pitchFamily="49" charset="0"/>
              <a:cs typeface="Segoe UI" panose="020B0502040204020203" pitchFamily="34" charset="0"/>
            </a:rPr>
            <a:t>DB Status</a:t>
          </a:r>
        </a:p>
      </xdr:txBody>
    </xdr:sp>
    <xdr:clientData fPrintsWithSheet="0"/>
  </xdr:twoCellAnchor>
  <xdr:twoCellAnchor editAs="absolute">
    <xdr:from>
      <xdr:col>9</xdr:col>
      <xdr:colOff>2246173</xdr:colOff>
      <xdr:row>0</xdr:row>
      <xdr:rowOff>0</xdr:rowOff>
    </xdr:from>
    <xdr:to>
      <xdr:col>9</xdr:col>
      <xdr:colOff>2800350</xdr:colOff>
      <xdr:row>0</xdr:row>
      <xdr:rowOff>200025</xdr:rowOff>
    </xdr:to>
    <xdr:sp macro="" textlink="">
      <xdr:nvSpPr>
        <xdr:cNvPr id="7" name="txtSection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SpPr txBox="1"/>
      </xdr:nvSpPr>
      <xdr:spPr>
        <a:xfrm>
          <a:off x="5275123" y="0"/>
          <a:ext cx="554177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100"/>
            <a:t>DATA</a:t>
          </a:r>
        </a:p>
      </xdr:txBody>
    </xdr:sp>
    <xdr:clientData/>
  </xdr:twoCellAnchor>
  <xdr:twoCellAnchor editAs="absolute">
    <xdr:from>
      <xdr:col>9</xdr:col>
      <xdr:colOff>3106885</xdr:colOff>
      <xdr:row>0</xdr:row>
      <xdr:rowOff>0</xdr:rowOff>
    </xdr:from>
    <xdr:to>
      <xdr:col>9</xdr:col>
      <xdr:colOff>3106885</xdr:colOff>
      <xdr:row>1</xdr:row>
      <xdr:rowOff>5386</xdr:rowOff>
    </xdr:to>
    <xdr:cxnSp macro="">
      <xdr:nvCxnSpPr>
        <xdr:cNvPr id="8" name="separator 3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CxnSpPr/>
      </xdr:nvCxnSpPr>
      <xdr:spPr>
        <a:xfrm>
          <a:off x="6135835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1844390</xdr:colOff>
      <xdr:row>0</xdr:row>
      <xdr:rowOff>0</xdr:rowOff>
    </xdr:from>
    <xdr:to>
      <xdr:col>9</xdr:col>
      <xdr:colOff>1844390</xdr:colOff>
      <xdr:row>1</xdr:row>
      <xdr:rowOff>5386</xdr:rowOff>
    </xdr:to>
    <xdr:cxnSp macro="">
      <xdr:nvCxnSpPr>
        <xdr:cNvPr id="9" name="separator 2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CxnSpPr/>
      </xdr:nvCxnSpPr>
      <xdr:spPr>
        <a:xfrm>
          <a:off x="487334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1095380</xdr:colOff>
      <xdr:row>0</xdr:row>
      <xdr:rowOff>0</xdr:rowOff>
    </xdr:from>
    <xdr:to>
      <xdr:col>9</xdr:col>
      <xdr:colOff>1095380</xdr:colOff>
      <xdr:row>1</xdr:row>
      <xdr:rowOff>5386</xdr:rowOff>
    </xdr:to>
    <xdr:cxnSp macro="">
      <xdr:nvCxnSpPr>
        <xdr:cNvPr id="10" name="separator 1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CxnSpPr/>
      </xdr:nvCxnSpPr>
      <xdr:spPr>
        <a:xfrm>
          <a:off x="412433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2505075</xdr:colOff>
      <xdr:row>0</xdr:row>
      <xdr:rowOff>228600</xdr:rowOff>
    </xdr:from>
    <xdr:to>
      <xdr:col>9</xdr:col>
      <xdr:colOff>2950890</xdr:colOff>
      <xdr:row>0</xdr:row>
      <xdr:rowOff>768600</xdr:rowOff>
    </xdr:to>
    <xdr:pic macro="[0]!CDataSave">
      <xdr:nvPicPr>
        <xdr:cNvPr id="11" name="saveCData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534025" y="228600"/>
          <a:ext cx="445815" cy="540000"/>
        </a:xfrm>
        <a:prstGeom prst="rect">
          <a:avLst/>
        </a:prstGeom>
      </xdr:spPr>
    </xdr:pic>
    <xdr:clientData/>
  </xdr:twoCellAnchor>
  <xdr:twoCellAnchor editAs="absolute">
    <xdr:from>
      <xdr:col>9</xdr:col>
      <xdr:colOff>1971301</xdr:colOff>
      <xdr:row>0</xdr:row>
      <xdr:rowOff>228600</xdr:rowOff>
    </xdr:from>
    <xdr:to>
      <xdr:col>9</xdr:col>
      <xdr:colOff>2390596</xdr:colOff>
      <xdr:row>0</xdr:row>
      <xdr:rowOff>768600</xdr:rowOff>
    </xdr:to>
    <xdr:pic macro="[0]!CDataAdd">
      <xdr:nvPicPr>
        <xdr:cNvPr id="12" name="addCData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000251" y="228600"/>
          <a:ext cx="419295" cy="540000"/>
        </a:xfrm>
        <a:prstGeom prst="rect">
          <a:avLst/>
        </a:prstGeom>
      </xdr:spPr>
    </xdr:pic>
    <xdr:clientData/>
  </xdr:twoCellAnchor>
  <xdr:twoCellAnchor editAs="absolute">
    <xdr:from>
      <xdr:col>9</xdr:col>
      <xdr:colOff>1228725</xdr:colOff>
      <xdr:row>0</xdr:row>
      <xdr:rowOff>219074</xdr:rowOff>
    </xdr:from>
    <xdr:to>
      <xdr:col>9</xdr:col>
      <xdr:colOff>1733550</xdr:colOff>
      <xdr:row>1</xdr:row>
      <xdr:rowOff>6989</xdr:rowOff>
    </xdr:to>
    <xdr:pic macro="[0]!CDatafetch">
      <xdr:nvPicPr>
        <xdr:cNvPr id="13" name="viewCData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257675" y="219074"/>
          <a:ext cx="504825" cy="607065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123825</xdr:colOff>
      <xdr:row>1</xdr:row>
      <xdr:rowOff>38100</xdr:rowOff>
    </xdr:from>
    <xdr:to>
      <xdr:col>5</xdr:col>
      <xdr:colOff>556679</xdr:colOff>
      <xdr:row>3</xdr:row>
      <xdr:rowOff>86151</xdr:rowOff>
    </xdr:to>
    <xdr:pic macro="[0]!EnumsUpdateOrInsert">
      <xdr:nvPicPr>
        <xdr:cNvPr id="2" name="saveCData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48600" y="228600"/>
          <a:ext cx="432854" cy="524301"/>
        </a:xfrm>
        <a:prstGeom prst="rect">
          <a:avLst/>
        </a:prstGeom>
      </xdr:spPr>
    </xdr:pic>
    <xdr:clientData/>
  </xdr:twoCellAnchor>
  <xdr:twoCellAnchor editAs="absolute">
    <xdr:from>
      <xdr:col>6</xdr:col>
      <xdr:colOff>44450</xdr:colOff>
      <xdr:row>1</xdr:row>
      <xdr:rowOff>136525</xdr:rowOff>
    </xdr:from>
    <xdr:to>
      <xdr:col>7</xdr:col>
      <xdr:colOff>334963</xdr:colOff>
      <xdr:row>2</xdr:row>
      <xdr:rowOff>150431</xdr:rowOff>
    </xdr:to>
    <xdr:sp macro="dbConnect" textlink="">
      <xdr:nvSpPr>
        <xdr:cNvPr id="4" name="ConnectionStatus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8378825" y="327025"/>
          <a:ext cx="900113" cy="252031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50">
              <a:solidFill>
                <a:srgbClr val="FFFFFF"/>
              </a:solidFill>
              <a:latin typeface="Consolas" panose="020B0609020204030204" pitchFamily="49" charset="0"/>
            </a:rPr>
            <a:t>DB Status</a:t>
          </a:r>
        </a:p>
      </xdr:txBody>
    </xdr:sp>
    <xdr:clientData fPrintsWithSheet="0"/>
  </xdr:twoCellAnchor>
  <xdr:twoCellAnchor editAs="oneCell">
    <xdr:from>
      <xdr:col>4</xdr:col>
      <xdr:colOff>85725</xdr:colOff>
      <xdr:row>1</xdr:row>
      <xdr:rowOff>28575</xdr:rowOff>
    </xdr:from>
    <xdr:to>
      <xdr:col>5</xdr:col>
      <xdr:colOff>57150</xdr:colOff>
      <xdr:row>3</xdr:row>
      <xdr:rowOff>107412</xdr:rowOff>
    </xdr:to>
    <xdr:pic macro="[0]!UnprotectEnumSheet">
      <xdr:nvPicPr>
        <xdr:cNvPr id="10" name="Picture 9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200900" y="219075"/>
          <a:ext cx="581025" cy="555087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6341548-634E-4723-9590-BFD572AC5EFC}" name="tblOR" displayName="tblOR" ref="D4:L5" insertRow="1" totalsRowShown="0" headerRowDxfId="198" dataDxfId="196" headerRowBorderDxfId="197" tableBorderDxfId="195" totalsRowBorderDxfId="194">
  <autoFilter ref="D4:L5" xr:uid="{B6341548-634E-4723-9590-BFD572AC5EFC}"/>
  <tableColumns count="9">
    <tableColumn id="7" xr3:uid="{9B3D314C-8517-4F22-B776-D706F928A204}" name="D" dataDxfId="193"/>
    <tableColumn id="8" xr3:uid="{850F5C1E-703F-43FF-887B-81D9B104A00C}" name="E" dataDxfId="192"/>
    <tableColumn id="9" xr3:uid="{AF856981-C6D4-480B-BD93-059E55495108}" name="C" dataDxfId="191"/>
    <tableColumn id="1" xr3:uid="{243A0144-3B47-47A0-9211-63DABFAA1674}" name="ACTION" dataDxfId="190"/>
    <tableColumn id="2" xr3:uid="{984EB06A-ECDC-4A13-8096-26032AE5880E}" name="OR_ID" dataDxfId="189"/>
    <tableColumn id="3" xr3:uid="{0C11641D-C276-4213-A0F2-6A0F6093E15A}" name="SCREEN_NAME" dataDxfId="188"/>
    <tableColumn id="4" xr3:uid="{86C297E7-4B50-4929-8ACE-790B0B78EA70}" name="FIELD_NAME" dataDxfId="187"/>
    <tableColumn id="5" xr3:uid="{2BBF8B77-EB5A-43E8-8883-CC0A94247D1A}" name="TYPE" dataDxfId="186"/>
    <tableColumn id="6" xr3:uid="{32F63322-F415-4B14-9227-0B91C4A562B7}" name="LOCATOR" dataDxfId="185"/>
  </tableColumns>
  <tableStyleInfo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1CBA82B-3A44-413B-B713-32115AADE111}" name="tblFuncMaster" displayName="tblFuncMaster" ref="D4:I5" insertRow="1" totalsRowShown="0" headerRowDxfId="184" dataDxfId="182" headerRowBorderDxfId="183" tableBorderDxfId="181" totalsRowBorderDxfId="180">
  <autoFilter ref="D4:I5" xr:uid="{B6341548-634E-4723-9590-BFD572AC5EFC}"/>
  <tableColumns count="6">
    <tableColumn id="7" xr3:uid="{DF460416-C0AB-4B77-9827-B09DE2C14322}" name="D" dataDxfId="179"/>
    <tableColumn id="8" xr3:uid="{6AFC8173-FCC0-4FE1-88F9-68B2121B202E}" name="E" dataDxfId="178"/>
    <tableColumn id="9" xr3:uid="{50DCF79A-8EB4-4DF3-ADA8-9FED0E615386}" name="C" dataDxfId="177"/>
    <tableColumn id="1" xr3:uid="{C33F9CC7-20DD-40BE-8CD9-A120FE54E220}" name="ACTION" dataDxfId="176"/>
    <tableColumn id="2" xr3:uid="{8D4F81A0-67F1-4168-94D0-CA84E0AA9063}" name="FUNC_ID" dataDxfId="175"/>
    <tableColumn id="3" xr3:uid="{C54199D1-A369-4BEA-AA5B-4E241C01FD41}" name="FUNC_NAME" dataDxfId="174"/>
  </tableColumns>
  <tableStyleInfo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AE795D6-91BE-43C1-B74F-0AE9D1590F51}" name="tblSubFuncMaster" displayName="tblSubFuncMaster" ref="D4:I5" insertRow="1" totalsRowShown="0" headerRowDxfId="173" dataDxfId="171" headerRowBorderDxfId="172" tableBorderDxfId="170" totalsRowBorderDxfId="169">
  <autoFilter ref="D4:I5" xr:uid="{2AE795D6-91BE-43C1-B74F-0AE9D1590F51}"/>
  <tableColumns count="6">
    <tableColumn id="7" xr3:uid="{265AAA22-424B-4018-AAC7-6F9892CC032E}" name="D" dataDxfId="168"/>
    <tableColumn id="8" xr3:uid="{2F1AD362-E2E5-4034-8CB5-30ABC7656A42}" name="E" dataDxfId="167"/>
    <tableColumn id="9" xr3:uid="{FF7D8B9B-FBB4-4B25-853E-999AFED34B18}" name="C" dataDxfId="166"/>
    <tableColumn id="1" xr3:uid="{B99E32E9-EC0C-47AC-AFFF-42C4A180AE88}" name="ACTION" dataDxfId="165"/>
    <tableColumn id="2" xr3:uid="{E119B0FF-E9F1-467F-A691-0BF44EB0613F}" name="SUBFUNC_ID" dataDxfId="164"/>
    <tableColumn id="3" xr3:uid="{84A02AD0-59B6-495E-8B88-604C5CBF55D2}" name="SUBFUNC_NAME" dataDxfId="163"/>
  </tableColumns>
  <tableStyleInfo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CCDE2E-F7C5-47D2-A763-CF25095316E9}" name="tblSteps" displayName="tblSteps" ref="D4:S5" insertRow="1" totalsRowShown="0" headerRowDxfId="162" dataDxfId="160" headerRowBorderDxfId="161" tableBorderDxfId="159" totalsRowBorderDxfId="158">
  <autoFilter ref="D4:S5" xr:uid="{B6341548-634E-4723-9590-BFD572AC5EFC}"/>
  <tableColumns count="16">
    <tableColumn id="7" xr3:uid="{4C679A9F-4BA8-44DB-A992-2CA511B1B3B9}" name="D" dataDxfId="157"/>
    <tableColumn id="8" xr3:uid="{04330E64-C10A-4CE9-A39F-7FBA7BC6030D}" name="E" dataDxfId="156"/>
    <tableColumn id="9" xr3:uid="{6E3FC6E7-0B60-4EEB-A323-AD49216D6266}" name="C" dataDxfId="155"/>
    <tableColumn id="1" xr3:uid="{1274E6A7-A912-4DE0-886C-542610E4C97C}" name="ACTION" dataDxfId="154"/>
    <tableColumn id="2" xr3:uid="{76F68286-ADF5-4E14-A5FE-1DA47C7B7ECB}" name="FNSTEP_ID" dataDxfId="153"/>
    <tableColumn id="3" xr3:uid="{C06449AA-A66B-40CA-A6D4-9FA605585460}" name="SUBFUNC_ID" dataDxfId="152"/>
    <tableColumn id="4" xr3:uid="{A29D96CE-4ED9-4067-B3D5-AEDC4F5F3367}" name="SUBFUNC_NAME" dataDxfId="151"/>
    <tableColumn id="15" xr3:uid="{F7B14080-5D3E-4BE9-8269-9D64451E35B1}" name="STEP_ID" dataDxfId="150"/>
    <tableColumn id="14" xr3:uid="{757ACA56-BB22-4F83-A1E4-EFCE0205F6FD}" name="STEP_DESCRIPTION" dataDxfId="149"/>
    <tableColumn id="16" xr3:uid="{5F3425FB-8C38-4038-B1C3-0E61E0B7CB07}" name="OR_ID" dataDxfId="148"/>
    <tableColumn id="13" xr3:uid="{7E70D4DA-04D0-4116-8C67-78ADB80CE216}" name="SCREEN_NAME" dataDxfId="147"/>
    <tableColumn id="12" xr3:uid="{15C9A9CD-96EB-4959-AF08-D72DBFBA4AAB}" name="FIELD_NAME" dataDxfId="146"/>
    <tableColumn id="11" xr3:uid="{2A2E10A3-7CBA-4C19-A445-560A55E63D48}" name="KEYWORD" dataDxfId="145"/>
    <tableColumn id="10" xr3:uid="{0CCF7573-5F25-4EC8-931F-06181F7DA90F}" name="SKIP_STEP" dataDxfId="144"/>
    <tableColumn id="5" xr3:uid="{0768F771-B520-4B0F-B450-1847639CF00A}" name="SKIP_SS" dataDxfId="143"/>
    <tableColumn id="6" xr3:uid="{EE1F676E-7470-4655-95D2-73B9E7060D47}" name="HARD_ASSERT" dataDxfId="142"/>
  </tableColumns>
  <tableStyleInfo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BC3788D-040A-432C-A96F-07537D441DAF}" name="tblAPI" displayName="tblAPI" ref="D4:U5" insertRow="1" totalsRowShown="0" headerRowDxfId="141" dataDxfId="139" headerRowBorderDxfId="140" tableBorderDxfId="138" totalsRowBorderDxfId="137">
  <autoFilter ref="D4:U5" xr:uid="{B6341548-634E-4723-9590-BFD572AC5EFC}"/>
  <tableColumns count="18">
    <tableColumn id="7" xr3:uid="{BDB3D455-91A6-43DE-A0AA-C5A8B0DD4423}" name="D" dataDxfId="136"/>
    <tableColumn id="8" xr3:uid="{663A7858-42EB-49B4-AD40-FBA3D9EED813}" name="E" dataDxfId="135"/>
    <tableColumn id="9" xr3:uid="{DEDF7B48-FAE6-406C-9AD8-DA58284EFD14}" name="C" dataDxfId="134"/>
    <tableColumn id="1" xr3:uid="{3E7564C6-0E1E-49B4-A8D2-640F9629B2DA}" name="ACTION" dataDxfId="133"/>
    <tableColumn id="2" xr3:uid="{6ECD8A1A-BC8D-48D4-8A2A-23E345419ABB}" name="API_ID" dataDxfId="132"/>
    <tableColumn id="3" xr3:uid="{5DC33AE0-D433-408E-A460-F1018787A7A8}" name="SCN_ID" dataDxfId="131"/>
    <tableColumn id="4" xr3:uid="{8C1E0954-51A2-4790-96B1-6BACC50274FD}" name="SUBFUNC_ID" dataDxfId="130"/>
    <tableColumn id="15" xr3:uid="{C7599D58-6E35-43D8-9571-3D1937BF043E}" name="SUBFUNC_NAME" dataDxfId="129"/>
    <tableColumn id="14" xr3:uid="{58ED1EE3-B39A-4CBD-9958-8BDC4CB6237B}" name="STEP_ID" dataDxfId="128"/>
    <tableColumn id="16" xr3:uid="{E6EDA538-C7F0-48B7-9E15-0E4C0750BC50}" name="REQUEST_TYPE" dataDxfId="127"/>
    <tableColumn id="13" xr3:uid="{8428195A-44ED-4F58-A9B5-BC8B4CE6FB7A}" name="URI" dataDxfId="126"/>
    <tableColumn id="12" xr3:uid="{735C6CBE-6721-48D2-9A8C-4464FCD0B8EB}" name="VARIABLES" dataDxfId="125"/>
    <tableColumn id="11" xr3:uid="{18A34A0B-1997-4C03-B35A-C7313AE3AD2B}" name="AUTH_TYPE" dataDxfId="124"/>
    <tableColumn id="18" xr3:uid="{204706CD-760D-4FC0-A488-05364396E67A}" name="AUTH_DATA" dataDxfId="123"/>
    <tableColumn id="17" xr3:uid="{2A55E668-8F98-4BCD-9F4D-4F7115522CB5}" name="HEADER_DATA" dataDxfId="122"/>
    <tableColumn id="10" xr3:uid="{1A35BCEC-A2BC-461B-8EBB-07BC48D01AE2}" name="REQUEST_BODY_DATA" dataDxfId="121"/>
    <tableColumn id="5" xr3:uid="{C46B6248-DB4C-4050-A147-7BD08DB0F867}" name="RESPONSE_VERIFICATION" dataDxfId="120"/>
    <tableColumn id="6" xr3:uid="{7B5D60E1-0182-460F-A670-038E635C25DF}" name="RESPONSE_RETRIEVE" dataDxfId="119"/>
  </tableColumns>
  <tableStyleInfo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0E6B1CF-82AC-43DB-8AC2-A160B54615C4}" name="tblMapping" displayName="tblMapping" ref="D4:S5" insertRow="1" totalsRowShown="0" headerRowDxfId="118" dataDxfId="116" headerRowBorderDxfId="117" tableBorderDxfId="115" totalsRowBorderDxfId="114">
  <autoFilter ref="D4:S5" xr:uid="{B6341548-634E-4723-9590-BFD572AC5EFC}"/>
  <tableColumns count="16">
    <tableColumn id="7" xr3:uid="{7E16B021-96D0-4DEA-A6EB-C0EAFD6141D3}" name="D" dataDxfId="113"/>
    <tableColumn id="8" xr3:uid="{A3D69F03-49D1-41C8-860E-E43CC3D48322}" name="E" dataDxfId="112"/>
    <tableColumn id="9" xr3:uid="{8778FFC1-223F-4CCC-A54F-6FFA2FFFCF06}" name="C" dataDxfId="111"/>
    <tableColumn id="1" xr3:uid="{A9B22712-6D72-4EE1-A83C-7DC0866DA877}" name="ACTION" dataDxfId="110"/>
    <tableColumn id="2" xr3:uid="{0027F342-A698-43A6-9984-69F1BB470B5A}" name="MAP_ID" dataDxfId="109"/>
    <tableColumn id="3" xr3:uid="{3521E9F4-D0EC-45A7-A757-33FA001CBF8D}" name="SCN_ID" dataDxfId="108"/>
    <tableColumn id="4" xr3:uid="{EB477B5F-03DA-4562-8050-2692B00C348A}" name="FUNC_ID" dataDxfId="107"/>
    <tableColumn id="15" xr3:uid="{14CE8EAC-D9CF-4CC7-A2A4-A0438F85D281}" name="FUNC_NAME" dataDxfId="106"/>
    <tableColumn id="14" xr3:uid="{0980C81D-8BE0-45A6-B99F-1E7EAE178C0B}" name="FUNC_SEQUENCE" dataDxfId="105"/>
    <tableColumn id="16" xr3:uid="{0B5D07DB-62BF-4FD6-9237-033871087587}" name="SUBFUNC_ID" dataDxfId="104"/>
    <tableColumn id="13" xr3:uid="{D3DA52AE-0CDD-4A79-BC9B-503FB4E1CE61}" name="SUBFUNC_NAME" dataDxfId="103"/>
    <tableColumn id="12" xr3:uid="{760316CA-3EEF-4B33-9F8F-C229EF103898}" name="SUBFUNC_SEQUENCE" dataDxfId="102"/>
    <tableColumn id="11" xr3:uid="{5F14B333-99BC-40DA-BDC6-A87FC56E2B75}" name="ITERATION" dataDxfId="101"/>
    <tableColumn id="10" xr3:uid="{59E4F7C8-1E3D-4C86-967A-11E5B37844AA}" name="ITERATION_SEQUENCE" dataDxfId="100"/>
    <tableColumn id="5" xr3:uid="{661AB0BD-E974-45E0-AA6B-67FADB55F2E7}" name="RUNMODE" dataDxfId="99"/>
    <tableColumn id="6" xr3:uid="{1EE76053-9C1D-491B-8B91-C4D8324DAAA1}" name="REMARKS" dataDxfId="98"/>
  </tableColumns>
  <tableStyleInfo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EB342654-1C8D-4198-8BF3-83656CFDBE34}" name="tblBatch" displayName="tblBatch" ref="D4:M5" insertRow="1" totalsRowShown="0" headerRowDxfId="97" dataDxfId="95" headerRowBorderDxfId="96" tableBorderDxfId="94" totalsRowBorderDxfId="93">
  <autoFilter ref="D4:M5" xr:uid="{B6341548-634E-4723-9590-BFD572AC5EFC}"/>
  <tableColumns count="10">
    <tableColumn id="7" xr3:uid="{09CBC42F-2E92-4BB2-AEA3-36D4420A07D6}" name="D" dataDxfId="92"/>
    <tableColumn id="8" xr3:uid="{30EF88E7-0C58-4B92-8E56-5BCF4A169C00}" name="E" dataDxfId="91"/>
    <tableColumn id="9" xr3:uid="{54DBE538-A78E-415B-83C8-F542D9CCFA34}" name="C" dataDxfId="90"/>
    <tableColumn id="1" xr3:uid="{5132A12A-443B-48AA-AE5F-314775604E92}" name="ACTION" dataDxfId="89"/>
    <tableColumn id="2" xr3:uid="{6612E218-C4D5-4ED6-8ADB-5D0CE2C51DB0}" name="BATCH_ID" dataDxfId="88"/>
    <tableColumn id="3" xr3:uid="{C6B7F26E-C97C-4A1E-9C28-857178DEF2DC}" name="SCN_ID" dataDxfId="87"/>
    <tableColumn id="4" xr3:uid="{15047470-8B1C-43EE-959F-1CF7E89A30B4}" name="FUNC_ID" dataDxfId="86"/>
    <tableColumn id="15" xr3:uid="{93A21B31-CD74-4E64-9C76-6E4CA2319830}" name="FUNC_NAME" dataDxfId="85"/>
    <tableColumn id="14" xr3:uid="{3AD22238-F808-4D06-A51F-2ED8E0B48BBF}" name="SEQUENCE" dataDxfId="84"/>
    <tableColumn id="16" xr3:uid="{1536EFF7-CBE1-425C-AEF3-A86BF776ACAC}" name="RUNMODE" dataDxfId="83"/>
  </tableColumns>
  <tableStyleInfo showFirstColumn="0" showLastColumn="0" showRowStripes="0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E6DBEC4E-AB48-441D-B17B-4EE8EE060D7F}" name="tblScnSteps" displayName="tblScnSteps" ref="D4:AC5" insertRow="1" totalsRowShown="0" headerRowDxfId="82" dataDxfId="80" headerRowBorderDxfId="81" tableBorderDxfId="79" totalsRowBorderDxfId="78">
  <autoFilter ref="D4:AC5" xr:uid="{B6341548-634E-4723-9590-BFD572AC5EFC}"/>
  <tableColumns count="26">
    <tableColumn id="7" xr3:uid="{1C498860-AA78-4050-B27B-CC104E4B31B0}" name="D" dataDxfId="77"/>
    <tableColumn id="8" xr3:uid="{C358593D-B7CD-4775-904E-975237576402}" name="E" dataDxfId="76"/>
    <tableColumn id="9" xr3:uid="{5D900056-CA81-4F58-AFB1-BB8E27492BFB}" name="C" dataDxfId="75"/>
    <tableColumn id="1" xr3:uid="{5AE5AE13-64FB-45B5-91DB-E5D04D7DE6B7}" name="ACTION" dataDxfId="74">
      <calculatedColumnFormula>IF(AND(EXACT(AJ5,tblScnSteps[[#This Row],[SKIP_STEP]]), EXACT(AK5,tblScnSteps[[#This Row],[SKIP_SS]]), EXACT(AL5,tblScnSteps[[#This Row],[HARD_ASSERT]]), EXACT(AM5,tblScnSteps[[#This Row],[DATA_01]])), "E", "M")</calculatedColumnFormula>
    </tableColumn>
    <tableColumn id="25" xr3:uid="{97B4DF37-AF1E-4A69-8C26-A1F4449C5DCA}" name="SCN_ID" dataDxfId="73"/>
    <tableColumn id="24" xr3:uid="{57E408BE-BA3D-484F-ACB9-AFEBE2E425A4}" name="FUNC_ID" dataDxfId="72"/>
    <tableColumn id="23" xr3:uid="{30FA5AF4-2262-45ED-99FA-D90110F3F8AD}" name="FUNC_NAME" dataDxfId="71"/>
    <tableColumn id="22" xr3:uid="{F814481E-8522-438B-8DD1-5F4B94AB45BB}" name="SUB_FUNC_ID" dataDxfId="70"/>
    <tableColumn id="2" xr3:uid="{9CBF920E-4087-449D-8A10-674E18F1D8D4}" name="SUBFUNC_NAME" dataDxfId="69"/>
    <tableColumn id="21" xr3:uid="{DC085A51-76F4-482D-BDF6-CC655012CA80}" name="STEP_ID" dataDxfId="68"/>
    <tableColumn id="20" xr3:uid="{09D6A56B-63F0-471B-ABA6-E9C9B53A867D}" name="STEP_DESCRIPTION" dataDxfId="67"/>
    <tableColumn id="19" xr3:uid="{A14778F4-936A-4056-B6C4-C6EFDFE31784}" name="OR_ID" dataDxfId="66"/>
    <tableColumn id="18" xr3:uid="{AD1BAAF3-9999-417E-A8C8-56E9CB7CD31D}" name="SCREEN_NAME" dataDxfId="65"/>
    <tableColumn id="17" xr3:uid="{FB6A7593-183D-454D-B725-C1C075096C02}" name="FIELD_NAME" dataDxfId="64"/>
    <tableColumn id="16" xr3:uid="{C0684902-E851-443B-8443-15ACD404C94D}" name="KEYWORD" dataDxfId="63"/>
    <tableColumn id="15" xr3:uid="{F458F78E-5993-4286-A9C3-2BACF0A15918}" name="TYPE" dataDxfId="62"/>
    <tableColumn id="14" xr3:uid="{EEC7193B-882E-4DCB-84F4-A5BD8B2E9264}" name="LOCATOR" dataDxfId="61"/>
    <tableColumn id="13" xr3:uid="{020A9008-19D4-4931-8DB0-BCFC2D264A02}" name="SKIP_STEP" dataDxfId="60"/>
    <tableColumn id="12" xr3:uid="{41B5B4F2-5E14-4EB7-9CEA-3B4EDC5CBDB8}" name="SKIP_SS" dataDxfId="59"/>
    <tableColumn id="11" xr3:uid="{6E8FC457-C294-4BF2-92E4-2B4A0589390B}" name="HARD_ASSERT" dataDxfId="58"/>
    <tableColumn id="10" xr3:uid="{882E9638-530D-45A1-AE28-351386AFA689}" name="DATA_01" dataDxfId="57"/>
    <tableColumn id="27" xr3:uid="{5A04A975-B5BD-4709-93BF-E95661844ECB}" name="DATA_02" dataDxfId="56"/>
    <tableColumn id="3" xr3:uid="{52C46F7D-59C7-45FE-844D-AD6283E7A49E}" name="FUNC_SEQUENCE" dataDxfId="55"/>
    <tableColumn id="4" xr3:uid="{AC241BA0-4E01-46C2-BE25-E0CF0C5325ED}" name="SUBFUNC_SEQUENCE" dataDxfId="54"/>
    <tableColumn id="5" xr3:uid="{38686501-591F-40B8-A160-29EA420036F7}" name="ITERATION" dataDxfId="53"/>
    <tableColumn id="6" xr3:uid="{B58FDA9D-01D0-4871-B780-2B5AB84599FA}" name="ITERATION_SEQUENCE" dataDxfId="52"/>
  </tableColumns>
  <tableStyleInfo showFirstColumn="0" showLastColumn="0" showRowStripes="0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8C2D700-359A-4371-9F20-927D86E5D557}" name="tblRunData" displayName="tblRunData" ref="D4:L5" insertRow="1" totalsRowShown="0" headerRowDxfId="51" dataDxfId="49" headerRowBorderDxfId="50" tableBorderDxfId="48" totalsRowBorderDxfId="47">
  <autoFilter ref="D4:L5" xr:uid="{B6341548-634E-4723-9590-BFD572AC5EFC}"/>
  <tableColumns count="9">
    <tableColumn id="7" xr3:uid="{CD666520-BE16-499E-8056-705EC5F64F3E}" name="D" dataDxfId="46"/>
    <tableColumn id="8" xr3:uid="{0084808C-E969-42D5-B89F-3D16FF968CF6}" name="E" dataDxfId="45"/>
    <tableColumn id="9" xr3:uid="{BB6AE562-FF71-4C61-B184-61BB36820FA9}" name="C" dataDxfId="44"/>
    <tableColumn id="1" xr3:uid="{1B15667E-DE6F-4369-88CA-9BCBFBAF3982}" name="ACTION" dataDxfId="43"/>
    <tableColumn id="4" xr3:uid="{FCCAF96D-E6D5-4CE3-BA29-A99B69E248EE}" name="SCN_ID" dataDxfId="42"/>
    <tableColumn id="2" xr3:uid="{28DC18A6-E4DE-4DD8-81B0-8E9ACC1705F4}" name="VARIABLE_NAME" dataDxfId="41"/>
    <tableColumn id="3" xr3:uid="{8C62738F-9EA4-4C77-A854-8263E25BEDBA}" name="DATA" dataDxfId="40"/>
    <tableColumn id="5" xr3:uid="{5E5698DD-908E-45EC-BC7B-899FB22F8DDC}" name="EXECUTED_BY" dataDxfId="39"/>
    <tableColumn id="6" xr3:uid="{2C776F5B-5136-4274-8C2D-9AE8A9A53DCC}" name="DATASET_ID" dataDxfId="38"/>
  </tableColumns>
  <tableStyleInfo showFirstColumn="0" showLastColumn="0" showRowStripes="0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42FC4A5-AC83-4782-AE1A-C4416831E3CF}" name="tblRunChart" displayName="tblRunChart" ref="D4:O5" insertRow="1" totalsRowShown="0" headerRowDxfId="37" dataDxfId="35" headerRowBorderDxfId="36" tableBorderDxfId="34" totalsRowBorderDxfId="33">
  <autoFilter ref="D4:O5" xr:uid="{B6341548-634E-4723-9590-BFD572AC5EFC}"/>
  <tableColumns count="12">
    <tableColumn id="7" xr3:uid="{9DB84554-4F5A-41F8-8999-C8378CEFD56E}" name="D" dataDxfId="32"/>
    <tableColumn id="8" xr3:uid="{D50F4AC7-C35E-4D69-AD0E-BFB63DE552A1}" name="E" dataDxfId="31"/>
    <tableColumn id="9" xr3:uid="{F61E463F-56CA-4AD8-A279-05A11D03550C}" name="C" dataDxfId="30"/>
    <tableColumn id="1" xr3:uid="{003DB409-6295-4C0C-AA71-33769159B36B}" name="ACTION" dataDxfId="29"/>
    <tableColumn id="2" xr3:uid="{3949AFE0-E0F0-4BAC-92A2-4F434D9CB7C3}" name="RUNID" dataDxfId="28"/>
    <tableColumn id="4" xr3:uid="{5A023E63-8F53-499E-803E-271CB074E06E}" name="SCN_ID" dataDxfId="27"/>
    <tableColumn id="3" xr3:uid="{C786E8AB-B815-40C2-BC0F-CFA06566A63B}" name="SCN_DESCRIPTION" dataDxfId="26"/>
    <tableColumn id="12" xr3:uid="{A4919548-6970-43C2-8E69-2B8825B75B66}" name="TAG" dataDxfId="25"/>
    <tableColumn id="5" xr3:uid="{DC9CCD2B-5F87-4ECB-8CE1-899AEE56B217}" name="EXECUTION_SEQUENCE" dataDxfId="24"/>
    <tableColumn id="11" xr3:uid="{BCDF8AFA-A1E1-4D02-9E0A-DB9A1FDCADE0}" name="EXECUTED_BY" dataDxfId="23"/>
    <tableColumn id="10" xr3:uid="{DBF0EF6B-567F-4763-BD84-0A34668A498E}" name="DATASET_ID" dataDxfId="22"/>
    <tableColumn id="6" xr3:uid="{C059668D-03EF-47FD-9E59-7C1101F705CF}" name="EXECUTE" dataDxfId="21"/>
  </tableColumns>
  <tableStyleInfo showFirstColumn="0" showLastColumn="0" showRowStripes="0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24F1B82-F983-433D-B5FE-99091A76EBAD}" name="tblCData" displayName="tblCData" ref="D4:J5" insertRow="1" totalsRowShown="0" headerRowDxfId="20" dataDxfId="18" headerRowBorderDxfId="19" tableBorderDxfId="17" totalsRowBorderDxfId="16">
  <autoFilter ref="D4:J5" xr:uid="{B6341548-634E-4723-9590-BFD572AC5EFC}"/>
  <tableColumns count="7">
    <tableColumn id="7" xr3:uid="{B5C1DA5D-9376-4268-962E-964A5644DFA7}" name="D" dataDxfId="15"/>
    <tableColumn id="8" xr3:uid="{0912C59C-FC42-464D-AC80-AAD55D389B1E}" name="E" dataDxfId="14"/>
    <tableColumn id="9" xr3:uid="{4936B6EA-8FFD-4746-89F7-6B48B9BA9F83}" name="C" dataDxfId="13"/>
    <tableColumn id="1" xr3:uid="{DF4FCD68-0359-4B74-8DB3-0417B3714286}" name="ACTION" dataDxfId="12"/>
    <tableColumn id="2" xr3:uid="{16BFA2A6-7872-4611-ACA1-D958DD173A63}" name="COMMON_ID" dataDxfId="11"/>
    <tableColumn id="4" xr3:uid="{DCB491B7-153E-478C-8B98-C9839082C76F}" name="VARIABLE_NAME" dataDxfId="10"/>
    <tableColumn id="3" xr3:uid="{BCD1CE77-E16E-4E1D-B2A5-A91FC2B620C0}" name="DATA" dataDxfId="9"/>
  </tableColumns>
  <tableStyleInfo showFirstColumn="0" showLastColumn="0" showRowStripes="0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CD702A3-6EA1-4032-95D8-1DD83B25A444}" name="tblEnum" displayName="tblEnum" ref="A1:D11" totalsRowShown="0" headerRowDxfId="8" dataDxfId="4" headerRowBorderDxfId="7" tableBorderDxfId="6" totalsRowBorderDxfId="5">
  <autoFilter ref="A1:D11" xr:uid="{E6803338-517E-4A34-8823-2CD47DA93B30}"/>
  <tableColumns count="4">
    <tableColumn id="4" xr3:uid="{AF800D5F-5CB9-4A79-BDD2-22B6D8991010}" name="LIST_ID" dataDxfId="3"/>
    <tableColumn id="1" xr3:uid="{8ECAD143-A16E-460E-9D55-74B9763ED399}" name="NAME" dataDxfId="2"/>
    <tableColumn id="2" xr3:uid="{CB673040-D771-49E5-8BD6-7F47E3A03289}" name="DROPDOWN_VALUES" dataDxfId="0"/>
    <tableColumn id="3" xr3:uid="{637E3A7E-36B6-4EC8-B602-8AF4534107FF}" name="DEFAULT_VALUE" dataDxfId="1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Blue Green">
      <a:dk1>
        <a:sysClr val="windowText" lastClr="000000"/>
      </a:dk1>
      <a:lt1>
        <a:sysClr val="window" lastClr="FFFFFF"/>
      </a:lt1>
      <a:dk2>
        <a:srgbClr val="373545"/>
      </a:dk2>
      <a:lt2>
        <a:srgbClr val="CEDBE6"/>
      </a:lt2>
      <a:accent1>
        <a:srgbClr val="3494BA"/>
      </a:accent1>
      <a:accent2>
        <a:srgbClr val="58B6C0"/>
      </a:accent2>
      <a:accent3>
        <a:srgbClr val="75BDA7"/>
      </a:accent3>
      <a:accent4>
        <a:srgbClr val="7A8C8E"/>
      </a:accent4>
      <a:accent5>
        <a:srgbClr val="84ACB6"/>
      </a:accent5>
      <a:accent6>
        <a:srgbClr val="2683C6"/>
      </a:accent6>
      <a:hlink>
        <a:srgbClr val="6B9F25"/>
      </a:hlink>
      <a:folHlink>
        <a:srgbClr val="9F6715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00FF00"/>
        </a:solidFill>
        <a:ln w="12700" cap="flat" cmpd="sng" algn="ctr">
          <a:noFill/>
          <a:prstDash val="solid"/>
          <a:miter lim="800000"/>
        </a:ln>
        <a:effectLst/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4.xml"/><Relationship Id="rId5" Type="http://schemas.openxmlformats.org/officeDocument/2006/relationships/image" Target="../media/image10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5.xml"/><Relationship Id="rId5" Type="http://schemas.openxmlformats.org/officeDocument/2006/relationships/image" Target="../media/image14.emf"/><Relationship Id="rId4" Type="http://schemas.openxmlformats.org/officeDocument/2006/relationships/control" Target="../activeX/activeX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6.xml"/><Relationship Id="rId5" Type="http://schemas.openxmlformats.org/officeDocument/2006/relationships/image" Target="../media/image16.emf"/><Relationship Id="rId4" Type="http://schemas.openxmlformats.org/officeDocument/2006/relationships/control" Target="../activeX/activeX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7.xml"/><Relationship Id="rId5" Type="http://schemas.openxmlformats.org/officeDocument/2006/relationships/image" Target="../media/image17.emf"/><Relationship Id="rId4" Type="http://schemas.openxmlformats.org/officeDocument/2006/relationships/control" Target="../activeX/activeX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E24A00-440D-4804-B695-365AEAC52F26}">
  <sheetPr codeName="sh01"/>
  <dimension ref="A1:M7"/>
  <sheetViews>
    <sheetView showGridLines="0" topLeftCell="C1" zoomScaleNormal="100" workbookViewId="0">
      <pane ySplit="4" topLeftCell="A5" activePane="bottomLeft" state="frozen"/>
      <selection activeCell="C1" sqref="C1"/>
      <selection pane="bottomLeft" activeCell="E4" sqref="E4"/>
    </sheetView>
  </sheetViews>
  <sheetFormatPr defaultColWidth="0" defaultRowHeight="16.5" customHeight="1" x14ac:dyDescent="0.25"/>
  <cols>
    <col min="1" max="2" width="7.42578125" hidden="1" customWidth="1"/>
    <col min="3" max="3" width="3.28515625" customWidth="1"/>
    <col min="4" max="6" width="4" customWidth="1"/>
    <col min="7" max="8" width="12.140625" hidden="1" customWidth="1"/>
    <col min="9" max="9" width="39.7109375" customWidth="1"/>
    <col min="10" max="10" width="41.42578125" customWidth="1"/>
    <col min="11" max="11" width="17.140625" customWidth="1"/>
    <col min="12" max="12" width="125.85546875" customWidth="1"/>
    <col min="13" max="13" width="12.140625" customWidth="1"/>
    <col min="14" max="16384" width="1.7109375" hidden="1"/>
  </cols>
  <sheetData>
    <row r="1" spans="1:12" ht="64.5" customHeight="1" x14ac:dyDescent="0.25">
      <c r="A1" s="16" t="s">
        <v>32</v>
      </c>
      <c r="B1" s="18">
        <v>5</v>
      </c>
      <c r="C1" s="15"/>
      <c r="D1" s="7"/>
      <c r="E1" s="7"/>
      <c r="F1" s="8"/>
      <c r="G1" s="2" t="s">
        <v>26</v>
      </c>
      <c r="H1" s="2"/>
      <c r="I1" s="2"/>
      <c r="J1" s="14"/>
      <c r="L1" s="41" t="str">
        <f>IF($B$7&gt;0,"Data not saved","")</f>
        <v/>
      </c>
    </row>
    <row r="2" spans="1:12" ht="1.5" customHeight="1" x14ac:dyDescent="0.25">
      <c r="A2" s="16" t="s">
        <v>33</v>
      </c>
      <c r="B2" s="18">
        <v>0</v>
      </c>
      <c r="C2" s="9"/>
      <c r="D2" s="4"/>
      <c r="E2" s="4"/>
      <c r="F2" s="4"/>
      <c r="G2" s="4"/>
      <c r="H2" s="4"/>
      <c r="I2" s="5"/>
      <c r="J2" s="1"/>
      <c r="K2" s="1"/>
      <c r="L2" s="1"/>
    </row>
    <row r="3" spans="1:12" ht="5.25" customHeight="1" x14ac:dyDescent="0.25">
      <c r="A3" s="16" t="s">
        <v>29</v>
      </c>
      <c r="B3" s="18">
        <v>1</v>
      </c>
      <c r="C3" s="10"/>
    </row>
    <row r="4" spans="1:12" ht="21" customHeight="1" thickBot="1" x14ac:dyDescent="0.3">
      <c r="A4" s="16" t="s">
        <v>30</v>
      </c>
      <c r="B4" s="18"/>
      <c r="D4" s="23" t="s">
        <v>22</v>
      </c>
      <c r="E4" s="24" t="s">
        <v>16</v>
      </c>
      <c r="F4" s="24" t="s">
        <v>23</v>
      </c>
      <c r="G4" s="25" t="s">
        <v>2</v>
      </c>
      <c r="H4" s="26" t="s">
        <v>17</v>
      </c>
      <c r="I4" s="26" t="s">
        <v>18</v>
      </c>
      <c r="J4" s="26" t="s">
        <v>19</v>
      </c>
      <c r="K4" s="26" t="s">
        <v>20</v>
      </c>
      <c r="L4" s="26" t="s">
        <v>21</v>
      </c>
    </row>
    <row r="5" spans="1:12" ht="16.5" customHeight="1" x14ac:dyDescent="0.25">
      <c r="A5" s="16" t="s">
        <v>27</v>
      </c>
      <c r="B5" s="18"/>
      <c r="D5" s="43"/>
      <c r="E5" s="43"/>
      <c r="F5" s="43"/>
      <c r="G5" s="43"/>
      <c r="H5" s="43"/>
      <c r="I5" s="44"/>
      <c r="J5" s="43"/>
      <c r="K5" s="43"/>
      <c r="L5" s="43"/>
    </row>
    <row r="6" spans="1:12" ht="16.5" customHeight="1" x14ac:dyDescent="0.25">
      <c r="A6" s="16" t="s">
        <v>28</v>
      </c>
      <c r="B6" s="19"/>
    </row>
    <row r="7" spans="1:12" ht="16.5" customHeight="1" x14ac:dyDescent="0.25">
      <c r="A7" s="16" t="s">
        <v>31</v>
      </c>
      <c r="B7">
        <f>COUNTIFS(tblOR[ACTION],"A")+COUNTIFS(tblOR[ACTION],"M")</f>
        <v>0</v>
      </c>
    </row>
  </sheetData>
  <sheetProtection algorithmName="SHA-512" hashValue="cCqxpzOxJecNY9ApZ7nffI8utNLj3R8oVZWQJLqps87gaQbVqRisp2BfQc7Xg0auwkk5BiCV3oo0MR3/5g+ExQ==" saltValue="IHu06OjEGXHtGHZ72zr/FA==" spinCount="100000" sheet="1" objects="1" scenarios="1" autoFilter="0"/>
  <dataConsolidate/>
  <phoneticPr fontId="7" type="noConversion"/>
  <dataValidations count="1">
    <dataValidation type="list" allowBlank="1" showInputMessage="1" showErrorMessage="1" errorTitle="Invalid value" error="Please select value from the list" promptTitle="Select a value" prompt="Please select value from the list" sqref="K5" xr:uid="{D5E78448-CA6B-4345-A778-92F8467DC134}">
      <formula1>"button,textbox,text,listbox,dropdown,url,menu,search,enterOtp,otp,deviationapp"</formula1>
    </dataValidation>
  </dataValidations>
  <pageMargins left="0.7" right="0.7" top="0.75" bottom="0.75" header="0.3" footer="0.3"/>
  <pageSetup paperSize="9" orientation="portrait" r:id="rId1"/>
  <headerFooter>
    <oddFooter>&amp;L_x000D_&amp;1#&amp;"Calibri"&amp;10&amp;K000000 Classification : Private\FAB Staff Personal Data</oddFooter>
  </headerFooter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394A3-828A-4661-BAF9-3BEE78153CA2}">
  <sheetPr codeName="sh02"/>
  <dimension ref="A1:K7"/>
  <sheetViews>
    <sheetView showGridLines="0" topLeftCell="C1" zoomScaleNormal="100" workbookViewId="0">
      <pane ySplit="4" topLeftCell="A5" activePane="bottomLeft" state="frozen"/>
      <selection pane="bottomLeft" activeCell="E4" sqref="E4"/>
    </sheetView>
  </sheetViews>
  <sheetFormatPr defaultColWidth="0" defaultRowHeight="16.5" customHeight="1" x14ac:dyDescent="0.25"/>
  <cols>
    <col min="1" max="1" width="10" hidden="1" customWidth="1"/>
    <col min="2" max="2" width="7.5703125" hidden="1" customWidth="1"/>
    <col min="3" max="3" width="3.28515625" customWidth="1"/>
    <col min="4" max="6" width="4" customWidth="1"/>
    <col min="7" max="7" width="12.140625" hidden="1" customWidth="1"/>
    <col min="8" max="8" width="20" customWidth="1"/>
    <col min="9" max="9" width="50.7109375" customWidth="1"/>
    <col min="10" max="10" width="29.140625" customWidth="1"/>
    <col min="11" max="11" width="6.5703125" customWidth="1"/>
    <col min="12" max="16384" width="12.140625" hidden="1"/>
  </cols>
  <sheetData>
    <row r="1" spans="1:11" ht="64.5" customHeight="1" x14ac:dyDescent="0.25">
      <c r="A1" s="16" t="s">
        <v>32</v>
      </c>
      <c r="B1" s="18">
        <v>5</v>
      </c>
      <c r="C1" s="15"/>
      <c r="D1" s="7"/>
      <c r="E1" s="7"/>
      <c r="F1" s="8"/>
      <c r="G1" s="2" t="s">
        <v>26</v>
      </c>
      <c r="H1" s="2"/>
      <c r="I1" s="2"/>
      <c r="J1" s="28" t="str">
        <f>IF($B$7&gt;0,"Data not saved","")</f>
        <v/>
      </c>
    </row>
    <row r="2" spans="1:11" ht="1.5" customHeight="1" x14ac:dyDescent="0.25">
      <c r="A2" s="16" t="s">
        <v>33</v>
      </c>
      <c r="B2" s="18">
        <v>0</v>
      </c>
      <c r="C2" s="9"/>
      <c r="D2" s="4"/>
      <c r="E2" s="4"/>
      <c r="F2" s="4"/>
      <c r="G2" s="4"/>
      <c r="H2" s="4"/>
      <c r="I2" s="5"/>
      <c r="J2" s="1"/>
      <c r="K2" s="1"/>
    </row>
    <row r="3" spans="1:11" ht="5.25" customHeight="1" thickBot="1" x14ac:dyDescent="0.3">
      <c r="A3" s="16" t="s">
        <v>29</v>
      </c>
      <c r="B3" s="18">
        <v>2</v>
      </c>
      <c r="C3" s="10"/>
    </row>
    <row r="4" spans="1:11" ht="21" customHeight="1" thickBot="1" x14ac:dyDescent="0.3">
      <c r="A4" s="16" t="s">
        <v>30</v>
      </c>
      <c r="B4" s="18"/>
      <c r="D4" s="23" t="s">
        <v>22</v>
      </c>
      <c r="E4" s="24" t="s">
        <v>16</v>
      </c>
      <c r="F4" s="24" t="s">
        <v>23</v>
      </c>
      <c r="G4" s="21" t="s">
        <v>2</v>
      </c>
      <c r="H4" s="21" t="s">
        <v>24</v>
      </c>
      <c r="I4" s="21" t="s">
        <v>25</v>
      </c>
      <c r="J4" s="22"/>
    </row>
    <row r="5" spans="1:11" ht="16.5" customHeight="1" x14ac:dyDescent="0.25">
      <c r="A5" s="16" t="s">
        <v>27</v>
      </c>
      <c r="B5" s="18"/>
      <c r="D5" s="27"/>
      <c r="E5" s="27"/>
      <c r="F5" s="27"/>
      <c r="G5" s="27"/>
      <c r="H5" s="27"/>
      <c r="I5" s="27"/>
    </row>
    <row r="6" spans="1:11" ht="16.5" customHeight="1" x14ac:dyDescent="0.25">
      <c r="A6" s="16" t="s">
        <v>28</v>
      </c>
      <c r="B6" s="18"/>
    </row>
    <row r="7" spans="1:11" ht="16.5" customHeight="1" x14ac:dyDescent="0.25">
      <c r="A7" s="16" t="s">
        <v>31</v>
      </c>
      <c r="B7" s="19">
        <f>COUNTIFS(tblFuncMaster[ACTION],"A")+COUNTIFS(tblFuncMaster[ACTION],"M")</f>
        <v>0</v>
      </c>
    </row>
  </sheetData>
  <sheetProtection algorithmName="SHA-512" hashValue="7AWcvqi2eSir2+zKKGU3V8Q3k9G7iCTK2X5zxn9RlN33DWjlWxd1TsIhF3ce2lCtksDz1Zi1rr/OIUPzhlHYEA==" saltValue="ZZzOIbAPVTkN6P4r0PN7cg==" spinCount="100000" sheet="1" objects="1" scenarios="1" autoFilter="0"/>
  <dataConsolidate/>
  <pageMargins left="0.7" right="0.7" top="0.75" bottom="0.75" header="0.3" footer="0.3"/>
  <pageSetup paperSize="9" orientation="portrait" r:id="rId1"/>
  <headerFooter>
    <oddFooter>&amp;L_x000D_&amp;1#&amp;"Calibri"&amp;10&amp;K000000 Classification : Private\FAB Staff Personal Data</oddFooter>
  </headerFooter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C0C0C-F28C-4B75-8DAF-606A1B0A48B9}">
  <sheetPr codeName="sh03"/>
  <dimension ref="A1:J330"/>
  <sheetViews>
    <sheetView showGridLines="0" topLeftCell="C1" zoomScaleNormal="100" workbookViewId="0">
      <pane ySplit="4" topLeftCell="A5" activePane="bottomLeft" state="frozen"/>
      <selection pane="bottomLeft" activeCell="E4" sqref="E4"/>
    </sheetView>
  </sheetViews>
  <sheetFormatPr defaultColWidth="0" defaultRowHeight="16.5" customHeight="1" x14ac:dyDescent="0.25"/>
  <cols>
    <col min="1" max="1" width="18.85546875" hidden="1" customWidth="1"/>
    <col min="2" max="2" width="24.28515625" hidden="1" customWidth="1"/>
    <col min="3" max="3" width="3.28515625" customWidth="1"/>
    <col min="4" max="6" width="4" customWidth="1"/>
    <col min="7" max="7" width="12.140625" hidden="1" customWidth="1"/>
    <col min="8" max="8" width="20" customWidth="1"/>
    <col min="9" max="9" width="64.28515625" customWidth="1"/>
    <col min="10" max="10" width="16.140625" customWidth="1"/>
    <col min="11" max="16384" width="9.140625" hidden="1"/>
  </cols>
  <sheetData>
    <row r="1" spans="1:10" ht="64.5" customHeight="1" x14ac:dyDescent="0.25">
      <c r="A1" s="16" t="s">
        <v>32</v>
      </c>
      <c r="B1" s="18">
        <v>5</v>
      </c>
      <c r="C1" s="15"/>
      <c r="D1" s="7"/>
      <c r="E1" s="7"/>
      <c r="F1" s="8"/>
      <c r="G1" s="2" t="s">
        <v>26</v>
      </c>
      <c r="H1" s="2"/>
      <c r="I1" s="34"/>
      <c r="J1" s="29" t="str">
        <f>IF($B$7&gt;0,"Data not saved","")</f>
        <v/>
      </c>
    </row>
    <row r="2" spans="1:10" ht="1.5" customHeight="1" x14ac:dyDescent="0.25">
      <c r="A2" s="16" t="s">
        <v>33</v>
      </c>
      <c r="B2" s="18">
        <v>0</v>
      </c>
      <c r="C2" s="9"/>
      <c r="D2" s="4"/>
      <c r="E2" s="4"/>
      <c r="F2" s="4"/>
      <c r="G2" s="4"/>
      <c r="H2" s="4"/>
      <c r="I2" s="5"/>
      <c r="J2" s="1"/>
    </row>
    <row r="3" spans="1:10" ht="5.25" customHeight="1" thickBot="1" x14ac:dyDescent="0.3">
      <c r="A3" s="16" t="s">
        <v>29</v>
      </c>
      <c r="B3" s="18">
        <v>2</v>
      </c>
      <c r="C3" s="10"/>
    </row>
    <row r="4" spans="1:10" ht="21" customHeight="1" thickBot="1" x14ac:dyDescent="0.3">
      <c r="A4" s="16" t="s">
        <v>30</v>
      </c>
      <c r="B4" s="18"/>
      <c r="D4" s="23" t="s">
        <v>22</v>
      </c>
      <c r="E4" s="24" t="s">
        <v>16</v>
      </c>
      <c r="F4" s="24" t="s">
        <v>23</v>
      </c>
      <c r="G4" s="21" t="s">
        <v>2</v>
      </c>
      <c r="H4" s="21" t="s">
        <v>34</v>
      </c>
      <c r="I4" s="21" t="s">
        <v>35</v>
      </c>
    </row>
    <row r="5" spans="1:10" ht="16.5" customHeight="1" x14ac:dyDescent="0.25">
      <c r="A5" s="16" t="s">
        <v>27</v>
      </c>
      <c r="B5" s="18"/>
      <c r="D5" s="27"/>
      <c r="E5" s="27"/>
      <c r="F5" s="27"/>
      <c r="G5" s="27"/>
      <c r="H5" s="27"/>
      <c r="I5" s="27"/>
    </row>
    <row r="6" spans="1:10" ht="16.5" customHeight="1" x14ac:dyDescent="0.25">
      <c r="A6" s="16" t="s">
        <v>28</v>
      </c>
      <c r="B6" s="18"/>
    </row>
    <row r="7" spans="1:10" ht="16.5" customHeight="1" x14ac:dyDescent="0.25">
      <c r="A7" s="16" t="s">
        <v>31</v>
      </c>
      <c r="B7" s="19">
        <f>COUNTIFS(tblSubFuncMaster[ACTION],"A")+COUNTIFS(tblSubFuncMaster[ACTION],"M")</f>
        <v>0</v>
      </c>
    </row>
    <row r="8" spans="1:10" ht="16.5" customHeight="1" x14ac:dyDescent="0.25">
      <c r="A8" s="17"/>
      <c r="B8" s="20"/>
    </row>
    <row r="9" spans="1:10" ht="16.5" customHeight="1" x14ac:dyDescent="0.25">
      <c r="A9" s="17"/>
      <c r="B9" s="20"/>
    </row>
    <row r="10" spans="1:10" ht="16.5" customHeight="1" x14ac:dyDescent="0.25">
      <c r="A10" s="17"/>
      <c r="B10" s="20"/>
    </row>
    <row r="11" spans="1:10" ht="16.5" customHeight="1" x14ac:dyDescent="0.25">
      <c r="A11" s="17"/>
      <c r="B11" s="20"/>
    </row>
    <row r="12" spans="1:10" ht="16.5" customHeight="1" x14ac:dyDescent="0.25">
      <c r="A12" s="17"/>
      <c r="B12" s="20"/>
    </row>
    <row r="13" spans="1:10" ht="16.5" customHeight="1" x14ac:dyDescent="0.25">
      <c r="A13" s="17"/>
      <c r="B13" s="20"/>
    </row>
    <row r="14" spans="1:10" ht="16.5" customHeight="1" x14ac:dyDescent="0.25">
      <c r="A14" s="17"/>
      <c r="B14" s="20"/>
    </row>
    <row r="15" spans="1:10" ht="16.5" customHeight="1" x14ac:dyDescent="0.25">
      <c r="A15" s="17"/>
      <c r="B15" s="20"/>
    </row>
    <row r="16" spans="1:10" ht="16.5" customHeight="1" x14ac:dyDescent="0.25">
      <c r="A16" s="17"/>
      <c r="B16" s="20"/>
    </row>
    <row r="17" spans="1:2" ht="16.5" customHeight="1" x14ac:dyDescent="0.25">
      <c r="A17" s="17"/>
      <c r="B17" s="20"/>
    </row>
    <row r="18" spans="1:2" ht="16.5" customHeight="1" x14ac:dyDescent="0.25">
      <c r="A18" s="17"/>
      <c r="B18" s="20"/>
    </row>
    <row r="19" spans="1:2" ht="16.5" customHeight="1" x14ac:dyDescent="0.25">
      <c r="A19" s="17"/>
      <c r="B19" s="20"/>
    </row>
    <row r="20" spans="1:2" ht="16.5" customHeight="1" x14ac:dyDescent="0.25">
      <c r="A20" s="17"/>
      <c r="B20" s="20"/>
    </row>
    <row r="21" spans="1:2" ht="16.5" customHeight="1" x14ac:dyDescent="0.25">
      <c r="A21" s="17"/>
      <c r="B21" s="20"/>
    </row>
    <row r="22" spans="1:2" ht="16.5" customHeight="1" x14ac:dyDescent="0.25">
      <c r="A22" s="17"/>
      <c r="B22" s="20"/>
    </row>
    <row r="23" spans="1:2" ht="16.5" customHeight="1" x14ac:dyDescent="0.25">
      <c r="A23" s="17"/>
      <c r="B23" s="20"/>
    </row>
    <row r="24" spans="1:2" ht="16.5" customHeight="1" x14ac:dyDescent="0.25">
      <c r="A24" s="17"/>
      <c r="B24" s="20"/>
    </row>
    <row r="25" spans="1:2" ht="16.5" customHeight="1" x14ac:dyDescent="0.25">
      <c r="A25" s="17"/>
      <c r="B25" s="20"/>
    </row>
    <row r="26" spans="1:2" ht="16.5" customHeight="1" x14ac:dyDescent="0.25">
      <c r="A26" s="17"/>
      <c r="B26" s="20"/>
    </row>
    <row r="27" spans="1:2" ht="16.5" customHeight="1" x14ac:dyDescent="0.25">
      <c r="A27" s="17"/>
      <c r="B27" s="20"/>
    </row>
    <row r="28" spans="1:2" ht="16.5" customHeight="1" x14ac:dyDescent="0.25">
      <c r="A28" s="17"/>
      <c r="B28" s="20"/>
    </row>
    <row r="29" spans="1:2" ht="16.5" customHeight="1" x14ac:dyDescent="0.25">
      <c r="A29" s="17"/>
      <c r="B29" s="20"/>
    </row>
    <row r="30" spans="1:2" ht="16.5" customHeight="1" x14ac:dyDescent="0.25">
      <c r="A30" s="17"/>
      <c r="B30" s="20"/>
    </row>
    <row r="31" spans="1:2" ht="16.5" customHeight="1" x14ac:dyDescent="0.25">
      <c r="A31" s="17"/>
      <c r="B31" s="20"/>
    </row>
    <row r="32" spans="1:2" ht="16.5" customHeight="1" x14ac:dyDescent="0.25">
      <c r="A32" s="17"/>
      <c r="B32" s="20"/>
    </row>
    <row r="33" spans="1:2" ht="16.5" customHeight="1" x14ac:dyDescent="0.25">
      <c r="A33" s="17"/>
      <c r="B33" s="20"/>
    </row>
    <row r="34" spans="1:2" ht="16.5" customHeight="1" x14ac:dyDescent="0.25">
      <c r="A34" s="17"/>
      <c r="B34" s="20"/>
    </row>
    <row r="35" spans="1:2" ht="16.5" customHeight="1" x14ac:dyDescent="0.25">
      <c r="A35" s="17"/>
      <c r="B35" s="20"/>
    </row>
    <row r="36" spans="1:2" ht="16.5" customHeight="1" x14ac:dyDescent="0.25">
      <c r="A36" s="17"/>
      <c r="B36" s="20"/>
    </row>
    <row r="37" spans="1:2" ht="16.5" customHeight="1" x14ac:dyDescent="0.25">
      <c r="A37" s="17"/>
      <c r="B37" s="20"/>
    </row>
    <row r="38" spans="1:2" ht="16.5" customHeight="1" x14ac:dyDescent="0.25">
      <c r="A38" s="17"/>
      <c r="B38" s="20"/>
    </row>
    <row r="39" spans="1:2" ht="16.5" customHeight="1" x14ac:dyDescent="0.25">
      <c r="A39" s="17"/>
      <c r="B39" s="20"/>
    </row>
    <row r="40" spans="1:2" ht="16.5" customHeight="1" x14ac:dyDescent="0.25">
      <c r="A40" s="17"/>
      <c r="B40" s="20"/>
    </row>
    <row r="41" spans="1:2" ht="16.5" customHeight="1" x14ac:dyDescent="0.25">
      <c r="A41" s="17"/>
      <c r="B41" s="20"/>
    </row>
    <row r="42" spans="1:2" ht="16.5" customHeight="1" x14ac:dyDescent="0.25">
      <c r="A42" s="17"/>
      <c r="B42" s="20"/>
    </row>
    <row r="43" spans="1:2" ht="16.5" customHeight="1" x14ac:dyDescent="0.25">
      <c r="A43" s="17"/>
      <c r="B43" s="20"/>
    </row>
    <row r="44" spans="1:2" ht="16.5" customHeight="1" x14ac:dyDescent="0.25">
      <c r="A44" s="17"/>
      <c r="B44" s="20"/>
    </row>
    <row r="45" spans="1:2" ht="16.5" customHeight="1" x14ac:dyDescent="0.25">
      <c r="A45" s="17"/>
      <c r="B45" s="20"/>
    </row>
    <row r="46" spans="1:2" ht="16.5" customHeight="1" x14ac:dyDescent="0.25">
      <c r="A46" s="17"/>
      <c r="B46" s="20"/>
    </row>
    <row r="47" spans="1:2" ht="16.5" customHeight="1" x14ac:dyDescent="0.25">
      <c r="A47" s="17"/>
      <c r="B47" s="20"/>
    </row>
    <row r="48" spans="1:2" ht="16.5" customHeight="1" x14ac:dyDescent="0.25">
      <c r="A48" s="17"/>
      <c r="B48" s="20"/>
    </row>
    <row r="49" spans="1:2" ht="16.5" customHeight="1" x14ac:dyDescent="0.25">
      <c r="A49" s="17"/>
      <c r="B49" s="20"/>
    </row>
    <row r="50" spans="1:2" ht="16.5" customHeight="1" x14ac:dyDescent="0.25">
      <c r="A50" s="17"/>
      <c r="B50" s="20"/>
    </row>
    <row r="51" spans="1:2" ht="16.5" customHeight="1" x14ac:dyDescent="0.25">
      <c r="A51" s="17"/>
      <c r="B51" s="20"/>
    </row>
    <row r="52" spans="1:2" ht="16.5" customHeight="1" x14ac:dyDescent="0.25">
      <c r="A52" s="17"/>
      <c r="B52" s="20"/>
    </row>
    <row r="53" spans="1:2" ht="16.5" customHeight="1" x14ac:dyDescent="0.25">
      <c r="A53" s="17"/>
      <c r="B53" s="20"/>
    </row>
    <row r="54" spans="1:2" ht="16.5" customHeight="1" x14ac:dyDescent="0.25">
      <c r="A54" s="17"/>
      <c r="B54" s="20"/>
    </row>
    <row r="55" spans="1:2" ht="16.5" customHeight="1" x14ac:dyDescent="0.25">
      <c r="A55" s="17"/>
      <c r="B55" s="20"/>
    </row>
    <row r="56" spans="1:2" ht="16.5" customHeight="1" x14ac:dyDescent="0.25">
      <c r="A56" s="17"/>
      <c r="B56" s="20"/>
    </row>
    <row r="57" spans="1:2" ht="16.5" customHeight="1" x14ac:dyDescent="0.25">
      <c r="A57" s="17"/>
      <c r="B57" s="20"/>
    </row>
    <row r="58" spans="1:2" ht="16.5" customHeight="1" x14ac:dyDescent="0.25">
      <c r="A58" s="17"/>
      <c r="B58" s="20"/>
    </row>
    <row r="59" spans="1:2" ht="16.5" customHeight="1" x14ac:dyDescent="0.25">
      <c r="A59" s="17"/>
      <c r="B59" s="20"/>
    </row>
    <row r="60" spans="1:2" ht="16.5" customHeight="1" x14ac:dyDescent="0.25">
      <c r="A60" s="17"/>
      <c r="B60" s="20"/>
    </row>
    <row r="61" spans="1:2" ht="16.5" customHeight="1" x14ac:dyDescent="0.25">
      <c r="A61" s="17"/>
      <c r="B61" s="20"/>
    </row>
    <row r="62" spans="1:2" ht="16.5" customHeight="1" x14ac:dyDescent="0.25">
      <c r="A62" s="17"/>
      <c r="B62" s="20"/>
    </row>
    <row r="63" spans="1:2" ht="16.5" customHeight="1" x14ac:dyDescent="0.25">
      <c r="A63" s="17"/>
      <c r="B63" s="20"/>
    </row>
    <row r="64" spans="1:2" ht="16.5" customHeight="1" x14ac:dyDescent="0.25">
      <c r="A64" s="17"/>
      <c r="B64" s="20"/>
    </row>
    <row r="65" spans="1:2" ht="16.5" customHeight="1" x14ac:dyDescent="0.25">
      <c r="A65" s="17"/>
      <c r="B65" s="20"/>
    </row>
    <row r="66" spans="1:2" ht="16.5" customHeight="1" x14ac:dyDescent="0.25">
      <c r="A66" s="17"/>
      <c r="B66" s="20"/>
    </row>
    <row r="67" spans="1:2" ht="16.5" customHeight="1" x14ac:dyDescent="0.25">
      <c r="A67" s="17"/>
      <c r="B67" s="20"/>
    </row>
    <row r="68" spans="1:2" ht="16.5" customHeight="1" x14ac:dyDescent="0.25">
      <c r="A68" s="17"/>
      <c r="B68" s="20"/>
    </row>
    <row r="69" spans="1:2" ht="16.5" customHeight="1" x14ac:dyDescent="0.25">
      <c r="A69" s="17"/>
      <c r="B69" s="20"/>
    </row>
    <row r="70" spans="1:2" ht="16.5" customHeight="1" x14ac:dyDescent="0.25">
      <c r="A70" s="17"/>
      <c r="B70" s="20"/>
    </row>
    <row r="71" spans="1:2" ht="16.5" customHeight="1" x14ac:dyDescent="0.25">
      <c r="A71" s="17"/>
      <c r="B71" s="20"/>
    </row>
    <row r="72" spans="1:2" ht="16.5" customHeight="1" x14ac:dyDescent="0.25">
      <c r="A72" s="17"/>
      <c r="B72" s="20"/>
    </row>
    <row r="73" spans="1:2" ht="16.5" customHeight="1" x14ac:dyDescent="0.25">
      <c r="A73" s="17"/>
      <c r="B73" s="20"/>
    </row>
    <row r="74" spans="1:2" ht="16.5" customHeight="1" x14ac:dyDescent="0.25">
      <c r="A74" s="17"/>
      <c r="B74" s="20"/>
    </row>
    <row r="75" spans="1:2" ht="16.5" customHeight="1" x14ac:dyDescent="0.25">
      <c r="A75" s="17"/>
      <c r="B75" s="20"/>
    </row>
    <row r="76" spans="1:2" ht="16.5" customHeight="1" x14ac:dyDescent="0.25">
      <c r="A76" s="17"/>
      <c r="B76" s="20"/>
    </row>
    <row r="77" spans="1:2" ht="16.5" customHeight="1" x14ac:dyDescent="0.25">
      <c r="A77" s="17"/>
      <c r="B77" s="20"/>
    </row>
    <row r="78" spans="1:2" ht="16.5" customHeight="1" x14ac:dyDescent="0.25">
      <c r="A78" s="17"/>
      <c r="B78" s="20"/>
    </row>
    <row r="79" spans="1:2" ht="16.5" customHeight="1" x14ac:dyDescent="0.25">
      <c r="A79" s="17"/>
      <c r="B79" s="20"/>
    </row>
    <row r="80" spans="1:2" ht="16.5" customHeight="1" x14ac:dyDescent="0.25">
      <c r="A80" s="17"/>
      <c r="B80" s="20"/>
    </row>
    <row r="81" spans="1:2" ht="16.5" customHeight="1" x14ac:dyDescent="0.25">
      <c r="A81" s="17"/>
      <c r="B81" s="20"/>
    </row>
    <row r="82" spans="1:2" ht="16.5" customHeight="1" x14ac:dyDescent="0.25">
      <c r="A82" s="17"/>
      <c r="B82" s="20"/>
    </row>
    <row r="83" spans="1:2" ht="16.5" customHeight="1" x14ac:dyDescent="0.25">
      <c r="A83" s="17"/>
      <c r="B83" s="20"/>
    </row>
    <row r="84" spans="1:2" ht="16.5" customHeight="1" x14ac:dyDescent="0.25">
      <c r="A84" s="17"/>
      <c r="B84" s="20"/>
    </row>
    <row r="85" spans="1:2" ht="16.5" customHeight="1" x14ac:dyDescent="0.25">
      <c r="A85" s="17"/>
      <c r="B85" s="20"/>
    </row>
    <row r="86" spans="1:2" ht="16.5" customHeight="1" x14ac:dyDescent="0.25">
      <c r="A86" s="17"/>
      <c r="B86" s="20"/>
    </row>
    <row r="87" spans="1:2" ht="16.5" customHeight="1" x14ac:dyDescent="0.25">
      <c r="A87" s="17"/>
      <c r="B87" s="20"/>
    </row>
    <row r="88" spans="1:2" ht="16.5" customHeight="1" x14ac:dyDescent="0.25">
      <c r="A88" s="17"/>
      <c r="B88" s="20"/>
    </row>
    <row r="89" spans="1:2" ht="16.5" customHeight="1" x14ac:dyDescent="0.25">
      <c r="A89" s="17"/>
      <c r="B89" s="20"/>
    </row>
    <row r="90" spans="1:2" ht="16.5" customHeight="1" x14ac:dyDescent="0.25">
      <c r="A90" s="17"/>
      <c r="B90" s="20"/>
    </row>
    <row r="91" spans="1:2" ht="16.5" customHeight="1" x14ac:dyDescent="0.25">
      <c r="A91" s="17"/>
      <c r="B91" s="20"/>
    </row>
    <row r="92" spans="1:2" ht="16.5" customHeight="1" x14ac:dyDescent="0.25">
      <c r="A92" s="17"/>
      <c r="B92" s="20"/>
    </row>
    <row r="93" spans="1:2" ht="16.5" customHeight="1" x14ac:dyDescent="0.25">
      <c r="A93" s="17"/>
      <c r="B93" s="20"/>
    </row>
    <row r="94" spans="1:2" ht="16.5" customHeight="1" x14ac:dyDescent="0.25">
      <c r="A94" s="17"/>
      <c r="B94" s="20"/>
    </row>
    <row r="95" spans="1:2" ht="16.5" customHeight="1" x14ac:dyDescent="0.25">
      <c r="A95" s="17"/>
      <c r="B95" s="20"/>
    </row>
    <row r="96" spans="1:2" ht="16.5" customHeight="1" x14ac:dyDescent="0.25">
      <c r="A96" s="17"/>
      <c r="B96" s="20"/>
    </row>
    <row r="97" spans="1:2" ht="16.5" customHeight="1" x14ac:dyDescent="0.25">
      <c r="A97" s="17"/>
      <c r="B97" s="20"/>
    </row>
    <row r="98" spans="1:2" ht="16.5" customHeight="1" x14ac:dyDescent="0.25">
      <c r="A98" s="17"/>
      <c r="B98" s="20"/>
    </row>
    <row r="99" spans="1:2" ht="16.5" customHeight="1" x14ac:dyDescent="0.25">
      <c r="A99" s="17"/>
      <c r="B99" s="20"/>
    </row>
    <row r="100" spans="1:2" ht="16.5" customHeight="1" x14ac:dyDescent="0.25">
      <c r="A100" s="17"/>
      <c r="B100" s="20"/>
    </row>
    <row r="101" spans="1:2" ht="16.5" customHeight="1" x14ac:dyDescent="0.25">
      <c r="A101" s="17"/>
      <c r="B101" s="20"/>
    </row>
    <row r="102" spans="1:2" ht="16.5" customHeight="1" x14ac:dyDescent="0.25">
      <c r="A102" s="17"/>
      <c r="B102" s="20"/>
    </row>
    <row r="103" spans="1:2" ht="16.5" customHeight="1" x14ac:dyDescent="0.25">
      <c r="A103" s="17"/>
      <c r="B103" s="20"/>
    </row>
    <row r="104" spans="1:2" ht="16.5" customHeight="1" x14ac:dyDescent="0.25">
      <c r="A104" s="17"/>
      <c r="B104" s="20"/>
    </row>
    <row r="105" spans="1:2" ht="16.5" customHeight="1" x14ac:dyDescent="0.25">
      <c r="A105" s="17"/>
      <c r="B105" s="20"/>
    </row>
    <row r="106" spans="1:2" ht="16.5" customHeight="1" x14ac:dyDescent="0.25">
      <c r="A106" s="17"/>
      <c r="B106" s="20"/>
    </row>
    <row r="107" spans="1:2" ht="16.5" customHeight="1" x14ac:dyDescent="0.25">
      <c r="A107" s="17"/>
      <c r="B107" s="20"/>
    </row>
    <row r="108" spans="1:2" ht="16.5" customHeight="1" x14ac:dyDescent="0.25">
      <c r="A108" s="17"/>
      <c r="B108" s="20"/>
    </row>
    <row r="109" spans="1:2" ht="16.5" customHeight="1" x14ac:dyDescent="0.25">
      <c r="A109" s="17"/>
      <c r="B109" s="20"/>
    </row>
    <row r="110" spans="1:2" ht="16.5" customHeight="1" x14ac:dyDescent="0.25">
      <c r="A110" s="17"/>
      <c r="B110" s="20"/>
    </row>
    <row r="111" spans="1:2" ht="16.5" customHeight="1" x14ac:dyDescent="0.25">
      <c r="A111" s="17"/>
      <c r="B111" s="20"/>
    </row>
    <row r="112" spans="1:2" ht="16.5" customHeight="1" x14ac:dyDescent="0.25">
      <c r="A112" s="17"/>
      <c r="B112" s="20"/>
    </row>
    <row r="113" spans="1:2" ht="16.5" customHeight="1" x14ac:dyDescent="0.25">
      <c r="A113" s="17"/>
      <c r="B113" s="20"/>
    </row>
    <row r="114" spans="1:2" ht="16.5" customHeight="1" x14ac:dyDescent="0.25">
      <c r="A114" s="17"/>
      <c r="B114" s="20"/>
    </row>
    <row r="115" spans="1:2" ht="16.5" customHeight="1" x14ac:dyDescent="0.25">
      <c r="A115" s="17"/>
      <c r="B115" s="20"/>
    </row>
    <row r="116" spans="1:2" ht="16.5" customHeight="1" x14ac:dyDescent="0.25">
      <c r="A116" s="17"/>
      <c r="B116" s="20"/>
    </row>
    <row r="117" spans="1:2" ht="16.5" customHeight="1" x14ac:dyDescent="0.25">
      <c r="A117" s="17"/>
      <c r="B117" s="20"/>
    </row>
    <row r="118" spans="1:2" ht="16.5" customHeight="1" x14ac:dyDescent="0.25">
      <c r="A118" s="17"/>
      <c r="B118" s="20"/>
    </row>
    <row r="119" spans="1:2" ht="16.5" customHeight="1" x14ac:dyDescent="0.25">
      <c r="A119" s="17"/>
      <c r="B119" s="20"/>
    </row>
    <row r="120" spans="1:2" ht="16.5" customHeight="1" x14ac:dyDescent="0.25">
      <c r="A120" s="17"/>
      <c r="B120" s="20"/>
    </row>
    <row r="121" spans="1:2" ht="16.5" customHeight="1" x14ac:dyDescent="0.25">
      <c r="A121" s="17"/>
      <c r="B121" s="20"/>
    </row>
    <row r="122" spans="1:2" ht="16.5" customHeight="1" x14ac:dyDescent="0.25">
      <c r="A122" s="17"/>
      <c r="B122" s="20"/>
    </row>
    <row r="123" spans="1:2" ht="16.5" customHeight="1" x14ac:dyDescent="0.25">
      <c r="A123" s="17"/>
      <c r="B123" s="20"/>
    </row>
    <row r="124" spans="1:2" ht="16.5" customHeight="1" x14ac:dyDescent="0.25">
      <c r="A124" s="17"/>
      <c r="B124" s="20"/>
    </row>
    <row r="125" spans="1:2" ht="16.5" customHeight="1" x14ac:dyDescent="0.25">
      <c r="A125" s="17"/>
      <c r="B125" s="20"/>
    </row>
    <row r="126" spans="1:2" ht="16.5" customHeight="1" x14ac:dyDescent="0.25">
      <c r="A126" s="17"/>
      <c r="B126" s="20"/>
    </row>
    <row r="127" spans="1:2" ht="16.5" customHeight="1" x14ac:dyDescent="0.25">
      <c r="A127" s="17"/>
      <c r="B127" s="20"/>
    </row>
    <row r="128" spans="1:2" ht="16.5" customHeight="1" x14ac:dyDescent="0.25">
      <c r="A128" s="17"/>
      <c r="B128" s="20"/>
    </row>
    <row r="129" spans="1:2" ht="16.5" customHeight="1" x14ac:dyDescent="0.25">
      <c r="A129" s="17"/>
      <c r="B129" s="20"/>
    </row>
    <row r="130" spans="1:2" ht="16.5" customHeight="1" x14ac:dyDescent="0.25">
      <c r="A130" s="17"/>
      <c r="B130" s="20"/>
    </row>
    <row r="131" spans="1:2" ht="16.5" customHeight="1" x14ac:dyDescent="0.25">
      <c r="A131" s="17"/>
      <c r="B131" s="20"/>
    </row>
    <row r="132" spans="1:2" ht="16.5" customHeight="1" x14ac:dyDescent="0.25">
      <c r="A132" s="17"/>
      <c r="B132" s="20"/>
    </row>
    <row r="133" spans="1:2" ht="16.5" customHeight="1" x14ac:dyDescent="0.25">
      <c r="A133" s="17"/>
      <c r="B133" s="20"/>
    </row>
    <row r="134" spans="1:2" ht="16.5" customHeight="1" x14ac:dyDescent="0.25">
      <c r="A134" s="17"/>
      <c r="B134" s="20"/>
    </row>
    <row r="135" spans="1:2" ht="16.5" customHeight="1" x14ac:dyDescent="0.25">
      <c r="A135" s="17"/>
      <c r="B135" s="20"/>
    </row>
    <row r="136" spans="1:2" ht="16.5" customHeight="1" x14ac:dyDescent="0.25">
      <c r="A136" s="17"/>
      <c r="B136" s="20"/>
    </row>
    <row r="137" spans="1:2" ht="16.5" customHeight="1" x14ac:dyDescent="0.25">
      <c r="A137" s="17"/>
      <c r="B137" s="20"/>
    </row>
    <row r="138" spans="1:2" ht="16.5" customHeight="1" x14ac:dyDescent="0.25">
      <c r="A138" s="17"/>
      <c r="B138" s="20"/>
    </row>
    <row r="139" spans="1:2" ht="16.5" customHeight="1" x14ac:dyDescent="0.25">
      <c r="A139" s="17"/>
      <c r="B139" s="20"/>
    </row>
    <row r="140" spans="1:2" ht="16.5" customHeight="1" x14ac:dyDescent="0.25">
      <c r="A140" s="17"/>
      <c r="B140" s="20"/>
    </row>
    <row r="141" spans="1:2" ht="16.5" customHeight="1" x14ac:dyDescent="0.25">
      <c r="A141" s="17"/>
      <c r="B141" s="20"/>
    </row>
    <row r="142" spans="1:2" ht="16.5" customHeight="1" x14ac:dyDescent="0.25">
      <c r="A142" s="17"/>
      <c r="B142" s="20"/>
    </row>
    <row r="143" spans="1:2" ht="16.5" customHeight="1" x14ac:dyDescent="0.25">
      <c r="A143" s="17"/>
      <c r="B143" s="20"/>
    </row>
    <row r="144" spans="1:2" ht="16.5" customHeight="1" x14ac:dyDescent="0.25">
      <c r="A144" s="17"/>
      <c r="B144" s="20"/>
    </row>
    <row r="145" spans="1:2" ht="16.5" customHeight="1" x14ac:dyDescent="0.25">
      <c r="A145" s="17"/>
      <c r="B145" s="20"/>
    </row>
    <row r="146" spans="1:2" ht="16.5" customHeight="1" x14ac:dyDescent="0.25">
      <c r="A146" s="17"/>
      <c r="B146" s="20"/>
    </row>
    <row r="147" spans="1:2" ht="16.5" customHeight="1" x14ac:dyDescent="0.25">
      <c r="A147" s="17"/>
      <c r="B147" s="20"/>
    </row>
    <row r="148" spans="1:2" ht="16.5" customHeight="1" x14ac:dyDescent="0.25">
      <c r="A148" s="17"/>
      <c r="B148" s="20"/>
    </row>
    <row r="149" spans="1:2" ht="16.5" customHeight="1" x14ac:dyDescent="0.25">
      <c r="A149" s="17"/>
      <c r="B149" s="20"/>
    </row>
    <row r="150" spans="1:2" ht="16.5" customHeight="1" x14ac:dyDescent="0.25">
      <c r="A150" s="17"/>
      <c r="B150" s="20"/>
    </row>
    <row r="151" spans="1:2" ht="16.5" customHeight="1" x14ac:dyDescent="0.25">
      <c r="A151" s="17"/>
      <c r="B151" s="20"/>
    </row>
    <row r="152" spans="1:2" ht="16.5" customHeight="1" x14ac:dyDescent="0.25">
      <c r="A152" s="17"/>
      <c r="B152" s="20"/>
    </row>
    <row r="153" spans="1:2" ht="16.5" customHeight="1" x14ac:dyDescent="0.25">
      <c r="A153" s="17"/>
      <c r="B153" s="20"/>
    </row>
    <row r="154" spans="1:2" ht="16.5" customHeight="1" x14ac:dyDescent="0.25">
      <c r="A154" s="17"/>
      <c r="B154" s="20"/>
    </row>
    <row r="155" spans="1:2" ht="16.5" customHeight="1" x14ac:dyDescent="0.25">
      <c r="A155" s="17"/>
      <c r="B155" s="20"/>
    </row>
    <row r="156" spans="1:2" ht="16.5" customHeight="1" x14ac:dyDescent="0.25">
      <c r="A156" s="17"/>
      <c r="B156" s="20"/>
    </row>
    <row r="157" spans="1:2" ht="16.5" customHeight="1" x14ac:dyDescent="0.25">
      <c r="A157" s="17"/>
      <c r="B157" s="20"/>
    </row>
    <row r="158" spans="1:2" ht="16.5" customHeight="1" x14ac:dyDescent="0.25">
      <c r="A158" s="17"/>
      <c r="B158" s="20"/>
    </row>
    <row r="159" spans="1:2" ht="16.5" customHeight="1" x14ac:dyDescent="0.25">
      <c r="A159" s="17"/>
      <c r="B159" s="20"/>
    </row>
    <row r="160" spans="1:2" ht="16.5" customHeight="1" x14ac:dyDescent="0.25">
      <c r="A160" s="17"/>
      <c r="B160" s="20"/>
    </row>
    <row r="161" spans="1:2" ht="16.5" customHeight="1" x14ac:dyDescent="0.25">
      <c r="A161" s="17"/>
      <c r="B161" s="20"/>
    </row>
    <row r="162" spans="1:2" ht="16.5" customHeight="1" x14ac:dyDescent="0.25">
      <c r="A162" s="17"/>
      <c r="B162" s="20"/>
    </row>
    <row r="163" spans="1:2" ht="16.5" customHeight="1" x14ac:dyDescent="0.25">
      <c r="A163" s="17"/>
      <c r="B163" s="20"/>
    </row>
    <row r="164" spans="1:2" ht="16.5" customHeight="1" x14ac:dyDescent="0.25">
      <c r="A164" s="17"/>
      <c r="B164" s="20"/>
    </row>
    <row r="165" spans="1:2" ht="16.5" customHeight="1" x14ac:dyDescent="0.25">
      <c r="A165" s="17"/>
      <c r="B165" s="20"/>
    </row>
    <row r="166" spans="1:2" ht="16.5" customHeight="1" x14ac:dyDescent="0.25">
      <c r="A166" s="17"/>
      <c r="B166" s="20"/>
    </row>
    <row r="167" spans="1:2" ht="16.5" customHeight="1" x14ac:dyDescent="0.25">
      <c r="A167" s="17"/>
      <c r="B167" s="20"/>
    </row>
    <row r="168" spans="1:2" ht="16.5" customHeight="1" x14ac:dyDescent="0.25">
      <c r="A168" s="17"/>
      <c r="B168" s="20"/>
    </row>
    <row r="169" spans="1:2" ht="16.5" customHeight="1" x14ac:dyDescent="0.25">
      <c r="A169" s="17"/>
      <c r="B169" s="20"/>
    </row>
    <row r="170" spans="1:2" ht="16.5" customHeight="1" x14ac:dyDescent="0.25">
      <c r="A170" s="17"/>
      <c r="B170" s="20"/>
    </row>
    <row r="171" spans="1:2" ht="16.5" customHeight="1" x14ac:dyDescent="0.25">
      <c r="A171" s="17"/>
      <c r="B171" s="20"/>
    </row>
    <row r="172" spans="1:2" ht="16.5" customHeight="1" x14ac:dyDescent="0.25">
      <c r="A172" s="17"/>
      <c r="B172" s="20"/>
    </row>
    <row r="173" spans="1:2" ht="16.5" customHeight="1" x14ac:dyDescent="0.25">
      <c r="A173" s="17"/>
      <c r="B173" s="20"/>
    </row>
    <row r="174" spans="1:2" ht="16.5" customHeight="1" x14ac:dyDescent="0.25">
      <c r="A174" s="17"/>
      <c r="B174" s="20"/>
    </row>
    <row r="175" spans="1:2" ht="16.5" customHeight="1" x14ac:dyDescent="0.25">
      <c r="A175" s="17"/>
      <c r="B175" s="20"/>
    </row>
    <row r="176" spans="1:2" ht="16.5" customHeight="1" x14ac:dyDescent="0.25">
      <c r="A176" s="17"/>
      <c r="B176" s="20"/>
    </row>
    <row r="177" spans="1:2" ht="16.5" customHeight="1" x14ac:dyDescent="0.25">
      <c r="A177" s="17"/>
      <c r="B177" s="20"/>
    </row>
    <row r="178" spans="1:2" ht="16.5" customHeight="1" x14ac:dyDescent="0.25">
      <c r="A178" s="17"/>
      <c r="B178" s="20"/>
    </row>
    <row r="179" spans="1:2" ht="16.5" customHeight="1" x14ac:dyDescent="0.25">
      <c r="A179" s="17"/>
      <c r="B179" s="20"/>
    </row>
    <row r="180" spans="1:2" ht="16.5" customHeight="1" x14ac:dyDescent="0.25">
      <c r="A180" s="17"/>
      <c r="B180" s="20"/>
    </row>
    <row r="181" spans="1:2" ht="16.5" customHeight="1" x14ac:dyDescent="0.25">
      <c r="A181" s="17"/>
      <c r="B181" s="20"/>
    </row>
    <row r="182" spans="1:2" ht="16.5" customHeight="1" x14ac:dyDescent="0.25">
      <c r="A182" s="17"/>
      <c r="B182" s="20"/>
    </row>
    <row r="183" spans="1:2" ht="16.5" customHeight="1" x14ac:dyDescent="0.25">
      <c r="A183" s="17"/>
      <c r="B183" s="20"/>
    </row>
    <row r="184" spans="1:2" ht="16.5" customHeight="1" x14ac:dyDescent="0.25">
      <c r="A184" s="17"/>
      <c r="B184" s="20"/>
    </row>
    <row r="185" spans="1:2" ht="16.5" customHeight="1" x14ac:dyDescent="0.25">
      <c r="A185" s="17"/>
      <c r="B185" s="20"/>
    </row>
    <row r="186" spans="1:2" ht="16.5" customHeight="1" x14ac:dyDescent="0.25">
      <c r="A186" s="17"/>
      <c r="B186" s="20"/>
    </row>
    <row r="187" spans="1:2" ht="16.5" customHeight="1" x14ac:dyDescent="0.25">
      <c r="A187" s="17"/>
      <c r="B187" s="20"/>
    </row>
    <row r="188" spans="1:2" ht="16.5" customHeight="1" x14ac:dyDescent="0.25">
      <c r="A188" s="17"/>
      <c r="B188" s="20"/>
    </row>
    <row r="189" spans="1:2" ht="16.5" customHeight="1" x14ac:dyDescent="0.25">
      <c r="A189" s="17"/>
      <c r="B189" s="20"/>
    </row>
    <row r="190" spans="1:2" ht="16.5" customHeight="1" x14ac:dyDescent="0.25">
      <c r="A190" s="17"/>
      <c r="B190" s="20"/>
    </row>
    <row r="191" spans="1:2" ht="16.5" customHeight="1" x14ac:dyDescent="0.25">
      <c r="A191" s="17"/>
      <c r="B191" s="20"/>
    </row>
    <row r="192" spans="1:2" ht="16.5" customHeight="1" x14ac:dyDescent="0.25">
      <c r="A192" s="17"/>
      <c r="B192" s="20"/>
    </row>
    <row r="193" spans="1:2" ht="16.5" customHeight="1" x14ac:dyDescent="0.25">
      <c r="A193" s="17"/>
      <c r="B193" s="20"/>
    </row>
    <row r="194" spans="1:2" ht="16.5" customHeight="1" x14ac:dyDescent="0.25">
      <c r="A194" s="17"/>
      <c r="B194" s="20"/>
    </row>
    <row r="195" spans="1:2" ht="16.5" customHeight="1" x14ac:dyDescent="0.25">
      <c r="A195" s="17"/>
      <c r="B195" s="20"/>
    </row>
    <row r="196" spans="1:2" ht="16.5" customHeight="1" x14ac:dyDescent="0.25">
      <c r="A196" s="17"/>
      <c r="B196" s="20"/>
    </row>
    <row r="197" spans="1:2" ht="16.5" customHeight="1" x14ac:dyDescent="0.25">
      <c r="A197" s="17"/>
      <c r="B197" s="20"/>
    </row>
    <row r="198" spans="1:2" ht="16.5" customHeight="1" x14ac:dyDescent="0.25">
      <c r="A198" s="17"/>
      <c r="B198" s="20"/>
    </row>
    <row r="199" spans="1:2" ht="16.5" customHeight="1" x14ac:dyDescent="0.25">
      <c r="A199" s="17"/>
      <c r="B199" s="20"/>
    </row>
    <row r="200" spans="1:2" ht="16.5" customHeight="1" x14ac:dyDescent="0.25">
      <c r="A200" s="17"/>
      <c r="B200" s="20"/>
    </row>
    <row r="201" spans="1:2" ht="16.5" customHeight="1" x14ac:dyDescent="0.25">
      <c r="A201" s="17"/>
      <c r="B201" s="20"/>
    </row>
    <row r="202" spans="1:2" ht="16.5" customHeight="1" x14ac:dyDescent="0.25">
      <c r="A202" s="17"/>
      <c r="B202" s="20"/>
    </row>
    <row r="203" spans="1:2" ht="16.5" customHeight="1" x14ac:dyDescent="0.25">
      <c r="A203" s="17"/>
      <c r="B203" s="20"/>
    </row>
    <row r="204" spans="1:2" ht="16.5" customHeight="1" x14ac:dyDescent="0.25">
      <c r="A204" s="17"/>
      <c r="B204" s="20"/>
    </row>
    <row r="205" spans="1:2" ht="16.5" customHeight="1" x14ac:dyDescent="0.25">
      <c r="A205" s="17"/>
      <c r="B205" s="20"/>
    </row>
    <row r="206" spans="1:2" ht="16.5" customHeight="1" x14ac:dyDescent="0.25">
      <c r="A206" s="17"/>
      <c r="B206" s="20"/>
    </row>
    <row r="207" spans="1:2" ht="16.5" customHeight="1" x14ac:dyDescent="0.25">
      <c r="A207" s="17"/>
      <c r="B207" s="20"/>
    </row>
    <row r="208" spans="1:2" ht="16.5" customHeight="1" x14ac:dyDescent="0.25">
      <c r="A208" s="17"/>
      <c r="B208" s="20"/>
    </row>
    <row r="209" spans="1:2" ht="16.5" customHeight="1" x14ac:dyDescent="0.25">
      <c r="A209" s="17"/>
      <c r="B209" s="20"/>
    </row>
    <row r="210" spans="1:2" ht="16.5" customHeight="1" x14ac:dyDescent="0.25">
      <c r="A210" s="17"/>
      <c r="B210" s="20"/>
    </row>
    <row r="211" spans="1:2" ht="16.5" customHeight="1" x14ac:dyDescent="0.25">
      <c r="A211" s="17"/>
      <c r="B211" s="20"/>
    </row>
    <row r="212" spans="1:2" ht="16.5" customHeight="1" x14ac:dyDescent="0.25">
      <c r="A212" s="17"/>
      <c r="B212" s="20"/>
    </row>
    <row r="213" spans="1:2" ht="16.5" customHeight="1" x14ac:dyDescent="0.25">
      <c r="A213" s="17"/>
      <c r="B213" s="20"/>
    </row>
    <row r="214" spans="1:2" ht="16.5" customHeight="1" x14ac:dyDescent="0.25">
      <c r="A214" s="17"/>
      <c r="B214" s="20"/>
    </row>
    <row r="215" spans="1:2" ht="16.5" customHeight="1" x14ac:dyDescent="0.25">
      <c r="A215" s="17"/>
      <c r="B215" s="20"/>
    </row>
    <row r="216" spans="1:2" ht="16.5" customHeight="1" x14ac:dyDescent="0.25">
      <c r="A216" s="17"/>
      <c r="B216" s="20"/>
    </row>
    <row r="217" spans="1:2" ht="16.5" customHeight="1" x14ac:dyDescent="0.25">
      <c r="A217" s="17"/>
      <c r="B217" s="20"/>
    </row>
    <row r="218" spans="1:2" ht="16.5" customHeight="1" x14ac:dyDescent="0.25">
      <c r="A218" s="17"/>
      <c r="B218" s="20"/>
    </row>
    <row r="219" spans="1:2" ht="16.5" customHeight="1" x14ac:dyDescent="0.25">
      <c r="A219" s="17"/>
      <c r="B219" s="20"/>
    </row>
    <row r="220" spans="1:2" ht="16.5" customHeight="1" x14ac:dyDescent="0.25">
      <c r="A220" s="17"/>
      <c r="B220" s="20"/>
    </row>
    <row r="221" spans="1:2" ht="16.5" customHeight="1" x14ac:dyDescent="0.25">
      <c r="A221" s="17"/>
      <c r="B221" s="20"/>
    </row>
    <row r="222" spans="1:2" ht="16.5" customHeight="1" x14ac:dyDescent="0.25">
      <c r="A222" s="17"/>
      <c r="B222" s="20"/>
    </row>
    <row r="223" spans="1:2" ht="16.5" customHeight="1" x14ac:dyDescent="0.25">
      <c r="A223" s="17"/>
      <c r="B223" s="20"/>
    </row>
    <row r="224" spans="1:2" ht="16.5" customHeight="1" x14ac:dyDescent="0.25">
      <c r="A224" s="17"/>
      <c r="B224" s="20"/>
    </row>
    <row r="225" spans="1:2" ht="16.5" customHeight="1" x14ac:dyDescent="0.25">
      <c r="A225" s="17"/>
      <c r="B225" s="20"/>
    </row>
    <row r="226" spans="1:2" ht="16.5" customHeight="1" x14ac:dyDescent="0.25">
      <c r="A226" s="17"/>
      <c r="B226" s="20"/>
    </row>
    <row r="227" spans="1:2" ht="16.5" customHeight="1" x14ac:dyDescent="0.25">
      <c r="A227" s="17"/>
      <c r="B227" s="20"/>
    </row>
    <row r="228" spans="1:2" ht="16.5" customHeight="1" x14ac:dyDescent="0.25">
      <c r="A228" s="17"/>
      <c r="B228" s="20"/>
    </row>
    <row r="229" spans="1:2" ht="16.5" customHeight="1" x14ac:dyDescent="0.25">
      <c r="A229" s="17"/>
      <c r="B229" s="20"/>
    </row>
    <row r="230" spans="1:2" ht="16.5" customHeight="1" x14ac:dyDescent="0.25">
      <c r="A230" s="17"/>
      <c r="B230" s="20"/>
    </row>
    <row r="231" spans="1:2" ht="16.5" customHeight="1" x14ac:dyDescent="0.25">
      <c r="A231" s="17"/>
      <c r="B231" s="20"/>
    </row>
    <row r="232" spans="1:2" ht="16.5" customHeight="1" x14ac:dyDescent="0.25">
      <c r="A232" s="17"/>
      <c r="B232" s="20"/>
    </row>
    <row r="233" spans="1:2" ht="16.5" customHeight="1" x14ac:dyDescent="0.25">
      <c r="A233" s="17"/>
      <c r="B233" s="20"/>
    </row>
    <row r="234" spans="1:2" ht="16.5" customHeight="1" x14ac:dyDescent="0.25">
      <c r="A234" s="17"/>
      <c r="B234" s="20"/>
    </row>
    <row r="235" spans="1:2" ht="16.5" customHeight="1" x14ac:dyDescent="0.25">
      <c r="A235" s="17"/>
      <c r="B235" s="20"/>
    </row>
    <row r="236" spans="1:2" ht="16.5" customHeight="1" x14ac:dyDescent="0.25">
      <c r="A236" s="17"/>
      <c r="B236" s="20"/>
    </row>
    <row r="237" spans="1:2" ht="16.5" customHeight="1" x14ac:dyDescent="0.25">
      <c r="A237" s="17"/>
      <c r="B237" s="20"/>
    </row>
    <row r="238" spans="1:2" ht="16.5" customHeight="1" x14ac:dyDescent="0.25">
      <c r="A238" s="17"/>
      <c r="B238" s="20"/>
    </row>
    <row r="239" spans="1:2" ht="16.5" customHeight="1" x14ac:dyDescent="0.25">
      <c r="A239" s="17"/>
      <c r="B239" s="20"/>
    </row>
    <row r="240" spans="1:2" ht="16.5" customHeight="1" x14ac:dyDescent="0.25">
      <c r="A240" s="17"/>
      <c r="B240" s="20"/>
    </row>
    <row r="241" spans="1:2" ht="16.5" customHeight="1" x14ac:dyDescent="0.25">
      <c r="A241" s="17"/>
      <c r="B241" s="20"/>
    </row>
    <row r="242" spans="1:2" ht="16.5" customHeight="1" x14ac:dyDescent="0.25">
      <c r="A242" s="17"/>
      <c r="B242" s="20"/>
    </row>
    <row r="243" spans="1:2" ht="16.5" customHeight="1" x14ac:dyDescent="0.25">
      <c r="A243" s="17"/>
      <c r="B243" s="20"/>
    </row>
    <row r="244" spans="1:2" ht="16.5" customHeight="1" x14ac:dyDescent="0.25">
      <c r="A244" s="17"/>
      <c r="B244" s="20"/>
    </row>
    <row r="245" spans="1:2" ht="16.5" customHeight="1" x14ac:dyDescent="0.25">
      <c r="A245" s="17"/>
      <c r="B245" s="20"/>
    </row>
    <row r="246" spans="1:2" ht="16.5" customHeight="1" x14ac:dyDescent="0.25">
      <c r="A246" s="17"/>
      <c r="B246" s="20"/>
    </row>
    <row r="247" spans="1:2" ht="16.5" customHeight="1" x14ac:dyDescent="0.25">
      <c r="A247" s="17"/>
      <c r="B247" s="20"/>
    </row>
    <row r="248" spans="1:2" ht="16.5" customHeight="1" x14ac:dyDescent="0.25">
      <c r="A248" s="17"/>
      <c r="B248" s="20"/>
    </row>
    <row r="249" spans="1:2" ht="16.5" customHeight="1" x14ac:dyDescent="0.25">
      <c r="A249" s="17"/>
      <c r="B249" s="20"/>
    </row>
    <row r="250" spans="1:2" ht="16.5" customHeight="1" x14ac:dyDescent="0.25">
      <c r="A250" s="17"/>
      <c r="B250" s="20"/>
    </row>
    <row r="251" spans="1:2" ht="16.5" customHeight="1" x14ac:dyDescent="0.25">
      <c r="A251" s="17"/>
      <c r="B251" s="20"/>
    </row>
    <row r="252" spans="1:2" ht="16.5" customHeight="1" x14ac:dyDescent="0.25">
      <c r="A252" s="17"/>
      <c r="B252" s="20"/>
    </row>
    <row r="253" spans="1:2" ht="16.5" customHeight="1" x14ac:dyDescent="0.25">
      <c r="A253" s="17"/>
      <c r="B253" s="20"/>
    </row>
    <row r="254" spans="1:2" ht="16.5" customHeight="1" x14ac:dyDescent="0.25">
      <c r="A254" s="17"/>
      <c r="B254" s="20"/>
    </row>
    <row r="255" spans="1:2" ht="16.5" customHeight="1" x14ac:dyDescent="0.25">
      <c r="A255" s="17"/>
      <c r="B255" s="20"/>
    </row>
    <row r="256" spans="1:2" ht="16.5" customHeight="1" x14ac:dyDescent="0.25">
      <c r="A256" s="17"/>
      <c r="B256" s="20"/>
    </row>
    <row r="257" spans="1:2" ht="16.5" customHeight="1" x14ac:dyDescent="0.25">
      <c r="A257" s="17"/>
      <c r="B257" s="20"/>
    </row>
    <row r="258" spans="1:2" ht="16.5" customHeight="1" x14ac:dyDescent="0.25">
      <c r="A258" s="17"/>
      <c r="B258" s="20"/>
    </row>
    <row r="259" spans="1:2" ht="16.5" customHeight="1" x14ac:dyDescent="0.25">
      <c r="A259" s="17"/>
      <c r="B259" s="20"/>
    </row>
    <row r="260" spans="1:2" ht="16.5" customHeight="1" x14ac:dyDescent="0.25">
      <c r="A260" s="17"/>
      <c r="B260" s="20"/>
    </row>
    <row r="261" spans="1:2" ht="16.5" customHeight="1" x14ac:dyDescent="0.25">
      <c r="A261" s="17"/>
      <c r="B261" s="20"/>
    </row>
    <row r="262" spans="1:2" ht="16.5" customHeight="1" x14ac:dyDescent="0.25">
      <c r="A262" s="17"/>
      <c r="B262" s="20"/>
    </row>
    <row r="263" spans="1:2" ht="16.5" customHeight="1" x14ac:dyDescent="0.25">
      <c r="A263" s="17"/>
      <c r="B263" s="20"/>
    </row>
    <row r="264" spans="1:2" ht="16.5" customHeight="1" x14ac:dyDescent="0.25">
      <c r="A264" s="17"/>
      <c r="B264" s="20"/>
    </row>
    <row r="265" spans="1:2" ht="16.5" customHeight="1" x14ac:dyDescent="0.25">
      <c r="A265" s="17"/>
      <c r="B265" s="20"/>
    </row>
    <row r="266" spans="1:2" ht="16.5" customHeight="1" x14ac:dyDescent="0.25">
      <c r="A266" s="17"/>
      <c r="B266" s="20"/>
    </row>
    <row r="267" spans="1:2" ht="16.5" customHeight="1" x14ac:dyDescent="0.25">
      <c r="A267" s="17"/>
      <c r="B267" s="20"/>
    </row>
    <row r="268" spans="1:2" ht="16.5" customHeight="1" x14ac:dyDescent="0.25">
      <c r="A268" s="17"/>
      <c r="B268" s="20"/>
    </row>
    <row r="269" spans="1:2" ht="16.5" customHeight="1" x14ac:dyDescent="0.25">
      <c r="A269" s="17"/>
      <c r="B269" s="20"/>
    </row>
    <row r="270" spans="1:2" ht="16.5" customHeight="1" x14ac:dyDescent="0.25">
      <c r="A270" s="17"/>
      <c r="B270" s="20"/>
    </row>
    <row r="271" spans="1:2" ht="16.5" customHeight="1" x14ac:dyDescent="0.25">
      <c r="A271" s="17"/>
      <c r="B271" s="20"/>
    </row>
    <row r="272" spans="1:2" ht="16.5" customHeight="1" x14ac:dyDescent="0.25">
      <c r="A272" s="17"/>
      <c r="B272" s="20"/>
    </row>
    <row r="273" spans="1:2" ht="16.5" customHeight="1" x14ac:dyDescent="0.25">
      <c r="A273" s="17"/>
      <c r="B273" s="20"/>
    </row>
    <row r="274" spans="1:2" ht="16.5" customHeight="1" x14ac:dyDescent="0.25">
      <c r="A274" s="17"/>
      <c r="B274" s="20"/>
    </row>
    <row r="275" spans="1:2" ht="16.5" customHeight="1" x14ac:dyDescent="0.25">
      <c r="A275" s="17"/>
      <c r="B275" s="20"/>
    </row>
    <row r="276" spans="1:2" ht="16.5" customHeight="1" x14ac:dyDescent="0.25">
      <c r="A276" s="17"/>
      <c r="B276" s="20"/>
    </row>
    <row r="277" spans="1:2" ht="16.5" customHeight="1" x14ac:dyDescent="0.25">
      <c r="A277" s="17"/>
      <c r="B277" s="20"/>
    </row>
    <row r="278" spans="1:2" ht="16.5" customHeight="1" x14ac:dyDescent="0.25">
      <c r="A278" s="17"/>
      <c r="B278" s="20"/>
    </row>
    <row r="279" spans="1:2" ht="16.5" customHeight="1" x14ac:dyDescent="0.25">
      <c r="A279" s="17"/>
      <c r="B279" s="20"/>
    </row>
    <row r="280" spans="1:2" ht="16.5" customHeight="1" x14ac:dyDescent="0.25">
      <c r="A280" s="17"/>
      <c r="B280" s="20"/>
    </row>
    <row r="281" spans="1:2" ht="16.5" customHeight="1" x14ac:dyDescent="0.25">
      <c r="A281" s="17"/>
      <c r="B281" s="20"/>
    </row>
    <row r="282" spans="1:2" ht="16.5" customHeight="1" x14ac:dyDescent="0.25">
      <c r="A282" s="17"/>
      <c r="B282" s="20"/>
    </row>
    <row r="283" spans="1:2" ht="16.5" customHeight="1" x14ac:dyDescent="0.25">
      <c r="A283" s="17"/>
      <c r="B283" s="20"/>
    </row>
    <row r="284" spans="1:2" ht="16.5" customHeight="1" x14ac:dyDescent="0.25">
      <c r="A284" s="17"/>
      <c r="B284" s="20"/>
    </row>
    <row r="285" spans="1:2" ht="16.5" customHeight="1" x14ac:dyDescent="0.25">
      <c r="A285" s="17"/>
      <c r="B285" s="20"/>
    </row>
    <row r="286" spans="1:2" ht="16.5" customHeight="1" x14ac:dyDescent="0.25">
      <c r="A286" s="17"/>
      <c r="B286" s="20"/>
    </row>
    <row r="287" spans="1:2" ht="16.5" customHeight="1" x14ac:dyDescent="0.25">
      <c r="A287" s="17"/>
      <c r="B287" s="20"/>
    </row>
    <row r="288" spans="1:2" ht="16.5" customHeight="1" x14ac:dyDescent="0.25">
      <c r="A288" s="17"/>
      <c r="B288" s="20"/>
    </row>
    <row r="289" spans="1:2" ht="16.5" customHeight="1" x14ac:dyDescent="0.25">
      <c r="A289" s="17"/>
      <c r="B289" s="20"/>
    </row>
    <row r="290" spans="1:2" ht="16.5" customHeight="1" x14ac:dyDescent="0.25">
      <c r="A290" s="17"/>
      <c r="B290" s="20"/>
    </row>
    <row r="291" spans="1:2" ht="16.5" customHeight="1" x14ac:dyDescent="0.25">
      <c r="A291" s="17"/>
      <c r="B291" s="20"/>
    </row>
    <row r="292" spans="1:2" ht="16.5" customHeight="1" x14ac:dyDescent="0.25">
      <c r="A292" s="17"/>
      <c r="B292" s="20"/>
    </row>
    <row r="293" spans="1:2" ht="16.5" customHeight="1" x14ac:dyDescent="0.25">
      <c r="A293" s="17"/>
      <c r="B293" s="20"/>
    </row>
    <row r="294" spans="1:2" ht="16.5" customHeight="1" x14ac:dyDescent="0.25">
      <c r="A294" s="17"/>
      <c r="B294" s="20"/>
    </row>
    <row r="295" spans="1:2" ht="16.5" customHeight="1" x14ac:dyDescent="0.25">
      <c r="A295" s="17"/>
      <c r="B295" s="20"/>
    </row>
    <row r="296" spans="1:2" ht="16.5" customHeight="1" x14ac:dyDescent="0.25">
      <c r="A296" s="17"/>
      <c r="B296" s="20"/>
    </row>
    <row r="297" spans="1:2" ht="16.5" customHeight="1" x14ac:dyDescent="0.25">
      <c r="A297" s="17"/>
      <c r="B297" s="20"/>
    </row>
    <row r="298" spans="1:2" ht="16.5" customHeight="1" x14ac:dyDescent="0.25">
      <c r="A298" s="17"/>
      <c r="B298" s="20"/>
    </row>
    <row r="299" spans="1:2" ht="16.5" customHeight="1" x14ac:dyDescent="0.25">
      <c r="A299" s="17"/>
      <c r="B299" s="20"/>
    </row>
    <row r="300" spans="1:2" ht="16.5" customHeight="1" x14ac:dyDescent="0.25">
      <c r="A300" s="17"/>
      <c r="B300" s="20"/>
    </row>
    <row r="301" spans="1:2" ht="16.5" customHeight="1" x14ac:dyDescent="0.25">
      <c r="A301" s="17"/>
      <c r="B301" s="20"/>
    </row>
    <row r="302" spans="1:2" ht="16.5" customHeight="1" x14ac:dyDescent="0.25">
      <c r="A302" s="17"/>
      <c r="B302" s="20"/>
    </row>
    <row r="303" spans="1:2" ht="16.5" customHeight="1" x14ac:dyDescent="0.25">
      <c r="A303" s="17"/>
      <c r="B303" s="20"/>
    </row>
    <row r="304" spans="1:2" ht="16.5" customHeight="1" x14ac:dyDescent="0.25">
      <c r="A304" s="17"/>
      <c r="B304" s="20"/>
    </row>
    <row r="305" spans="1:2" ht="16.5" customHeight="1" x14ac:dyDescent="0.25">
      <c r="A305" s="17"/>
      <c r="B305" s="20"/>
    </row>
    <row r="306" spans="1:2" ht="16.5" customHeight="1" x14ac:dyDescent="0.25">
      <c r="A306" s="17"/>
      <c r="B306" s="20"/>
    </row>
    <row r="307" spans="1:2" ht="16.5" customHeight="1" x14ac:dyDescent="0.25">
      <c r="A307" s="17"/>
      <c r="B307" s="20"/>
    </row>
    <row r="308" spans="1:2" ht="16.5" customHeight="1" x14ac:dyDescent="0.25">
      <c r="A308" s="17"/>
      <c r="B308" s="20"/>
    </row>
    <row r="309" spans="1:2" ht="16.5" customHeight="1" x14ac:dyDescent="0.25">
      <c r="A309" s="17"/>
      <c r="B309" s="20"/>
    </row>
    <row r="310" spans="1:2" ht="16.5" customHeight="1" x14ac:dyDescent="0.25">
      <c r="A310" s="17"/>
      <c r="B310" s="20"/>
    </row>
    <row r="311" spans="1:2" ht="16.5" customHeight="1" x14ac:dyDescent="0.25">
      <c r="A311" s="17"/>
      <c r="B311" s="20"/>
    </row>
    <row r="312" spans="1:2" ht="16.5" customHeight="1" x14ac:dyDescent="0.25">
      <c r="A312" s="17"/>
      <c r="B312" s="20"/>
    </row>
    <row r="313" spans="1:2" ht="16.5" customHeight="1" x14ac:dyDescent="0.25">
      <c r="A313" s="17"/>
      <c r="B313" s="20"/>
    </row>
    <row r="314" spans="1:2" ht="16.5" customHeight="1" x14ac:dyDescent="0.25">
      <c r="A314" s="17"/>
      <c r="B314" s="20"/>
    </row>
    <row r="315" spans="1:2" ht="16.5" customHeight="1" x14ac:dyDescent="0.25">
      <c r="A315" s="17"/>
      <c r="B315" s="20"/>
    </row>
    <row r="316" spans="1:2" ht="16.5" customHeight="1" x14ac:dyDescent="0.25">
      <c r="A316" s="17"/>
      <c r="B316" s="20"/>
    </row>
    <row r="317" spans="1:2" ht="16.5" customHeight="1" x14ac:dyDescent="0.25">
      <c r="A317" s="17"/>
      <c r="B317" s="20"/>
    </row>
    <row r="318" spans="1:2" ht="16.5" customHeight="1" x14ac:dyDescent="0.25">
      <c r="A318" s="17"/>
      <c r="B318" s="20"/>
    </row>
    <row r="319" spans="1:2" ht="16.5" customHeight="1" x14ac:dyDescent="0.25">
      <c r="A319" s="17"/>
      <c r="B319" s="20"/>
    </row>
    <row r="320" spans="1:2" ht="16.5" customHeight="1" x14ac:dyDescent="0.25">
      <c r="A320" s="17"/>
      <c r="B320" s="20"/>
    </row>
    <row r="321" spans="1:2" ht="16.5" customHeight="1" x14ac:dyDescent="0.25">
      <c r="A321" s="17"/>
      <c r="B321" s="20"/>
    </row>
    <row r="322" spans="1:2" ht="16.5" customHeight="1" x14ac:dyDescent="0.25">
      <c r="A322" s="17"/>
      <c r="B322" s="20"/>
    </row>
    <row r="323" spans="1:2" ht="16.5" customHeight="1" x14ac:dyDescent="0.25">
      <c r="A323" s="17"/>
      <c r="B323" s="20"/>
    </row>
    <row r="324" spans="1:2" ht="16.5" customHeight="1" x14ac:dyDescent="0.25">
      <c r="A324" s="17"/>
      <c r="B324" s="20"/>
    </row>
    <row r="325" spans="1:2" ht="16.5" customHeight="1" x14ac:dyDescent="0.25">
      <c r="A325" s="17"/>
      <c r="B325" s="20"/>
    </row>
    <row r="326" spans="1:2" ht="16.5" customHeight="1" x14ac:dyDescent="0.25">
      <c r="A326" s="17"/>
      <c r="B326" s="20"/>
    </row>
    <row r="327" spans="1:2" ht="16.5" customHeight="1" x14ac:dyDescent="0.25">
      <c r="A327" s="17"/>
      <c r="B327" s="20"/>
    </row>
    <row r="328" spans="1:2" ht="16.5" customHeight="1" x14ac:dyDescent="0.25">
      <c r="A328" s="17"/>
      <c r="B328" s="20"/>
    </row>
    <row r="329" spans="1:2" ht="16.5" customHeight="1" x14ac:dyDescent="0.25">
      <c r="A329" s="17"/>
      <c r="B329" s="20"/>
    </row>
    <row r="330" spans="1:2" ht="16.5" customHeight="1" x14ac:dyDescent="0.25">
      <c r="A330" s="17"/>
      <c r="B330" s="20"/>
    </row>
  </sheetData>
  <sheetProtection algorithmName="SHA-512" hashValue="eYZeh2Fb4koPIyzUP0daB5dl92TfQUo0WC+eSAzQlNnNAZT1e5x4GTohI1AUNclmmywCXxKYdxbQQo0TXTxOdA==" saltValue="v+Q//29+eQSvtjhq5nVOuQ==" spinCount="100000" sheet="1" objects="1" scenarios="1" autoFilter="0"/>
  <dataConsolidate/>
  <pageMargins left="0.7" right="0.7" top="0.75" bottom="0.75" header="0.3" footer="0.3"/>
  <pageSetup paperSize="9" orientation="portrait" r:id="rId1"/>
  <headerFooter>
    <oddFooter>&amp;L_x000D_&amp;1#&amp;"Calibri"&amp;10&amp;K000000 Classification : Private\FAB Staff Personal Data</oddFooter>
  </headerFooter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92201-2915-4417-B796-86CB6BEF3116}">
  <sheetPr codeName="sh05"/>
  <dimension ref="A1:T8"/>
  <sheetViews>
    <sheetView showGridLines="0" topLeftCell="C1" zoomScaleNormal="100" workbookViewId="0">
      <pane ySplit="4" topLeftCell="A5" activePane="bottomLeft" state="frozen"/>
      <selection activeCell="C1" sqref="C1"/>
      <selection pane="bottomLeft" activeCell="E4" sqref="E4"/>
    </sheetView>
  </sheetViews>
  <sheetFormatPr defaultColWidth="0" defaultRowHeight="16.5" customHeight="1" x14ac:dyDescent="0.25"/>
  <cols>
    <col min="1" max="1" width="14.5703125" hidden="1" customWidth="1"/>
    <col min="2" max="2" width="7.28515625" hidden="1" customWidth="1"/>
    <col min="3" max="3" width="3.28515625" customWidth="1"/>
    <col min="4" max="6" width="4" customWidth="1"/>
    <col min="7" max="8" width="12.140625" hidden="1" customWidth="1"/>
    <col min="9" max="9" width="20.7109375" hidden="1" customWidth="1"/>
    <col min="10" max="10" width="60.7109375" customWidth="1"/>
    <col min="11" max="11" width="11.85546875" customWidth="1"/>
    <col min="12" max="12" width="56.7109375" customWidth="1"/>
    <col min="13" max="13" width="15" hidden="1" customWidth="1"/>
    <col min="14" max="14" width="35.7109375" customWidth="1"/>
    <col min="15" max="15" width="30.7109375" customWidth="1"/>
    <col min="16" max="16" width="15.140625" customWidth="1"/>
    <col min="17" max="17" width="13.28515625" customWidth="1"/>
    <col min="18" max="18" width="12.42578125" customWidth="1"/>
    <col min="19" max="20" width="14.85546875" customWidth="1"/>
    <col min="21" max="16384" width="1.7109375" hidden="1"/>
  </cols>
  <sheetData>
    <row r="1" spans="1:20" ht="64.5" customHeight="1" x14ac:dyDescent="0.25">
      <c r="A1" s="16" t="s">
        <v>32</v>
      </c>
      <c r="B1" s="18">
        <v>5</v>
      </c>
      <c r="C1" s="15"/>
      <c r="D1" s="7"/>
      <c r="E1" s="7"/>
      <c r="F1" s="8"/>
      <c r="G1" s="2" t="s">
        <v>26</v>
      </c>
      <c r="H1" s="2"/>
      <c r="I1" s="2"/>
      <c r="J1" s="14"/>
      <c r="L1" s="30" t="str">
        <f>IF($B$7&gt;0,"Data not saved","")</f>
        <v/>
      </c>
      <c r="N1" s="30"/>
    </row>
    <row r="2" spans="1:20" ht="1.5" customHeight="1" x14ac:dyDescent="0.25">
      <c r="A2" s="16" t="s">
        <v>33</v>
      </c>
      <c r="B2" s="18">
        <v>0</v>
      </c>
      <c r="C2" s="9"/>
      <c r="D2" s="4"/>
      <c r="E2" s="4"/>
      <c r="F2" s="4"/>
      <c r="G2" s="4"/>
      <c r="H2" s="4"/>
      <c r="I2" s="5"/>
      <c r="J2" s="1"/>
      <c r="K2" s="1"/>
      <c r="L2" s="1"/>
      <c r="M2" s="1"/>
      <c r="N2" s="1"/>
      <c r="O2" s="1"/>
      <c r="P2" s="1"/>
      <c r="Q2" s="1"/>
      <c r="R2" s="1"/>
      <c r="S2" s="1"/>
      <c r="T2" s="1"/>
    </row>
    <row r="3" spans="1:20" ht="5.25" customHeight="1" x14ac:dyDescent="0.25">
      <c r="A3" s="16" t="s">
        <v>29</v>
      </c>
      <c r="B3" s="18">
        <v>3</v>
      </c>
      <c r="C3" s="10"/>
    </row>
    <row r="4" spans="1:20" ht="21" customHeight="1" thickBot="1" x14ac:dyDescent="0.3">
      <c r="A4" s="16" t="s">
        <v>30</v>
      </c>
      <c r="B4" s="18"/>
      <c r="D4" s="23" t="s">
        <v>22</v>
      </c>
      <c r="E4" s="24" t="s">
        <v>16</v>
      </c>
      <c r="F4" s="24" t="s">
        <v>23</v>
      </c>
      <c r="G4" s="25" t="s">
        <v>2</v>
      </c>
      <c r="H4" s="26" t="s">
        <v>44</v>
      </c>
      <c r="I4" s="26" t="s">
        <v>34</v>
      </c>
      <c r="J4" s="26" t="s">
        <v>35</v>
      </c>
      <c r="K4" s="26" t="s">
        <v>45</v>
      </c>
      <c r="L4" s="26" t="s">
        <v>46</v>
      </c>
      <c r="M4" s="26" t="s">
        <v>17</v>
      </c>
      <c r="N4" s="26" t="s">
        <v>18</v>
      </c>
      <c r="O4" s="26" t="s">
        <v>19</v>
      </c>
      <c r="P4" s="26" t="s">
        <v>12</v>
      </c>
      <c r="Q4" s="26" t="s">
        <v>10</v>
      </c>
      <c r="R4" s="26" t="s">
        <v>8</v>
      </c>
      <c r="S4" s="26" t="s">
        <v>11</v>
      </c>
    </row>
    <row r="5" spans="1:20" ht="16.5" customHeight="1" x14ac:dyDescent="0.25">
      <c r="A5" s="16" t="s">
        <v>47</v>
      </c>
      <c r="B5" s="18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</row>
    <row r="6" spans="1:20" ht="16.5" customHeight="1" x14ac:dyDescent="0.25">
      <c r="A6" s="16" t="s">
        <v>28</v>
      </c>
    </row>
    <row r="7" spans="1:20" ht="16.5" customHeight="1" x14ac:dyDescent="0.25">
      <c r="A7" s="16" t="s">
        <v>31</v>
      </c>
      <c r="B7" s="19">
        <f>COUNTIFS(tblSteps[ACTION],"A")+COUNTIFS(tblSteps[ACTION],"M")</f>
        <v>0</v>
      </c>
    </row>
    <row r="8" spans="1:20" ht="16.5" customHeight="1" x14ac:dyDescent="0.25">
      <c r="A8" s="16" t="s">
        <v>48</v>
      </c>
      <c r="B8" s="19" t="s">
        <v>221</v>
      </c>
    </row>
  </sheetData>
  <sheetProtection algorithmName="SHA-512" hashValue="XujwkHj4sAoLwFvG67Fir7eNFbq/n0zdd/z3qnn24tyuVQi6Kg+qamBnPDf4MuIueY8K3IkQuntrhLq8fUc/4A==" saltValue="jcPBsb6yuxONlCNLazEFZA==" spinCount="100000" sheet="1" objects="1" scenarios="1" autoFilter="0"/>
  <dataConsolidate/>
  <dataValidations count="2">
    <dataValidation type="list" allowBlank="1" showInputMessage="1" showErrorMessage="1" errorTitle="Invalid value" error="Please select value from the list" promptTitle="Select a value" prompt="Please select value from the list" sqref="P5" xr:uid="{98C9D6DF-7F00-4CC1-892E-3892E90F9459}">
      <formula1>"input,retrieve,verify,api"</formula1>
    </dataValidation>
    <dataValidation type="list" allowBlank="1" showInputMessage="1" showErrorMessage="1" errorTitle="Invalid value" error="Please select value from the list" promptTitle="Select a value" prompt="Please select value from the list" sqref="Q5:S5" xr:uid="{CC0B7380-1857-4F24-A339-72385430B894}">
      <formula1>"Y,N"</formula1>
    </dataValidation>
  </dataValidations>
  <pageMargins left="0.7" right="0.7" top="0.75" bottom="0.75" header="0.3" footer="0.3"/>
  <pageSetup paperSize="9" orientation="portrait" r:id="rId1"/>
  <headerFooter>
    <oddFooter>&amp;L_x000D_&amp;1#&amp;"Calibri"&amp;10&amp;K000000 Classification : Private\FAB Staff Personal Data</oddFooter>
  </headerFooter>
  <drawing r:id="rId2"/>
  <legacyDrawing r:id="rId3"/>
  <controls>
    <mc:AlternateContent xmlns:mc="http://schemas.openxmlformats.org/markup-compatibility/2006">
      <mc:Choice Requires="x14">
        <control shapeId="6145" r:id="rId4" name="cboSteps">
          <controlPr autoLine="0" r:id="rId5">
            <anchor moveWithCells="1">
              <from>
                <xdr:col>14</xdr:col>
                <xdr:colOff>0</xdr:colOff>
                <xdr:row>0</xdr:row>
                <xdr:rowOff>9525</xdr:rowOff>
              </from>
              <to>
                <xdr:col>15</xdr:col>
                <xdr:colOff>0</xdr:colOff>
                <xdr:row>0</xdr:row>
                <xdr:rowOff>228600</xdr:rowOff>
              </to>
            </anchor>
          </controlPr>
        </control>
      </mc:Choice>
      <mc:Fallback>
        <control shapeId="6145" r:id="rId4" name="cboSteps"/>
      </mc:Fallback>
    </mc:AlternateContent>
  </controls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FD48B5-EA71-4DDA-B82E-807EF48FBA12}">
  <sheetPr codeName="sh06"/>
  <dimension ref="A1:V9"/>
  <sheetViews>
    <sheetView showGridLines="0" topLeftCell="C1" zoomScaleNormal="100" workbookViewId="0">
      <pane ySplit="4" topLeftCell="A5" activePane="bottomLeft" state="frozen"/>
      <selection activeCell="C1" sqref="C1"/>
      <selection pane="bottomLeft" activeCell="E4" sqref="E4"/>
    </sheetView>
  </sheetViews>
  <sheetFormatPr defaultColWidth="0" defaultRowHeight="16.5" customHeight="1" x14ac:dyDescent="0.25"/>
  <cols>
    <col min="1" max="1" width="16" hidden="1" customWidth="1"/>
    <col min="2" max="2" width="18.140625" hidden="1" customWidth="1"/>
    <col min="3" max="3" width="3.28515625" customWidth="1"/>
    <col min="4" max="6" width="4" customWidth="1"/>
    <col min="7" max="8" width="12.140625" hidden="1" customWidth="1"/>
    <col min="9" max="9" width="20.7109375" customWidth="1"/>
    <col min="10" max="10" width="13.5703125" hidden="1" customWidth="1"/>
    <col min="11" max="11" width="31.28515625" customWidth="1"/>
    <col min="12" max="12" width="12.7109375" customWidth="1"/>
    <col min="13" max="13" width="17.85546875" customWidth="1"/>
    <col min="14" max="14" width="68.140625" customWidth="1"/>
    <col min="15" max="15" width="19.85546875" hidden="1" customWidth="1"/>
    <col min="16" max="16" width="11.42578125" hidden="1" customWidth="1"/>
    <col min="17" max="17" width="20.7109375" hidden="1" customWidth="1"/>
    <col min="18" max="18" width="24.42578125" customWidth="1"/>
    <col min="19" max="19" width="67.85546875" hidden="1" customWidth="1"/>
    <col min="20" max="20" width="107.140625" customWidth="1"/>
    <col min="21" max="21" width="32.7109375" hidden="1" customWidth="1"/>
    <col min="22" max="22" width="15.140625" customWidth="1"/>
    <col min="23" max="16384" width="1.7109375" hidden="1"/>
  </cols>
  <sheetData>
    <row r="1" spans="1:21" ht="64.5" customHeight="1" x14ac:dyDescent="0.25">
      <c r="A1" s="16" t="s">
        <v>32</v>
      </c>
      <c r="B1" s="18">
        <v>5</v>
      </c>
      <c r="C1" s="15"/>
      <c r="D1" s="7"/>
      <c r="E1" s="7"/>
      <c r="F1" s="8"/>
      <c r="G1" s="2" t="s">
        <v>26</v>
      </c>
      <c r="H1" s="2"/>
      <c r="I1" s="2"/>
      <c r="J1" s="14"/>
      <c r="N1" s="30" t="str">
        <f>IF($B$7&gt;0,"Data not saved","")</f>
        <v/>
      </c>
    </row>
    <row r="2" spans="1:21" ht="1.5" customHeight="1" x14ac:dyDescent="0.25">
      <c r="A2" s="16" t="s">
        <v>33</v>
      </c>
      <c r="B2" s="18">
        <v>0</v>
      </c>
      <c r="C2" s="9"/>
      <c r="D2" s="4"/>
      <c r="E2" s="4"/>
      <c r="F2" s="4"/>
      <c r="G2" s="4"/>
      <c r="H2" s="4"/>
      <c r="I2" s="5"/>
      <c r="J2" s="1"/>
      <c r="K2" s="1"/>
      <c r="L2" s="1"/>
      <c r="M2" s="1"/>
      <c r="N2" s="1"/>
      <c r="O2" s="1"/>
      <c r="P2" s="1"/>
      <c r="Q2" s="1"/>
      <c r="R2" s="1"/>
      <c r="S2" s="1"/>
      <c r="T2" s="1"/>
    </row>
    <row r="3" spans="1:21" ht="5.25" customHeight="1" x14ac:dyDescent="0.25">
      <c r="A3" s="16" t="s">
        <v>29</v>
      </c>
      <c r="B3" s="18">
        <v>4</v>
      </c>
      <c r="C3" s="10"/>
    </row>
    <row r="4" spans="1:21" ht="21" customHeight="1" thickBot="1" x14ac:dyDescent="0.3">
      <c r="A4" s="16" t="s">
        <v>30</v>
      </c>
      <c r="B4" s="18"/>
      <c r="D4" s="23" t="s">
        <v>22</v>
      </c>
      <c r="E4" s="24" t="s">
        <v>16</v>
      </c>
      <c r="F4" s="24" t="s">
        <v>23</v>
      </c>
      <c r="G4" s="25" t="s">
        <v>2</v>
      </c>
      <c r="H4" s="26" t="s">
        <v>52</v>
      </c>
      <c r="I4" s="26" t="s">
        <v>37</v>
      </c>
      <c r="J4" s="26" t="s">
        <v>34</v>
      </c>
      <c r="K4" s="26" t="s">
        <v>35</v>
      </c>
      <c r="L4" s="26" t="s">
        <v>45</v>
      </c>
      <c r="M4" s="26" t="s">
        <v>14</v>
      </c>
      <c r="N4" s="26" t="s">
        <v>53</v>
      </c>
      <c r="O4" s="26" t="s">
        <v>54</v>
      </c>
      <c r="P4" s="26" t="s">
        <v>55</v>
      </c>
      <c r="Q4" s="26" t="s">
        <v>56</v>
      </c>
      <c r="R4" s="26" t="s">
        <v>57</v>
      </c>
      <c r="S4" s="26" t="s">
        <v>58</v>
      </c>
      <c r="T4" s="26" t="s">
        <v>59</v>
      </c>
      <c r="U4" s="26" t="s">
        <v>60</v>
      </c>
    </row>
    <row r="5" spans="1:21" ht="16.5" customHeight="1" x14ac:dyDescent="0.25">
      <c r="A5" s="31" t="s">
        <v>43</v>
      </c>
      <c r="B5" s="32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</row>
    <row r="6" spans="1:21" ht="16.5" customHeight="1" x14ac:dyDescent="0.25">
      <c r="A6" s="31" t="s">
        <v>28</v>
      </c>
    </row>
    <row r="7" spans="1:21" ht="16.5" customHeight="1" x14ac:dyDescent="0.25">
      <c r="A7" s="31" t="s">
        <v>31</v>
      </c>
      <c r="B7" s="33">
        <f>COUNTIFS(tblAPI[ACTION],"A")+COUNTIFS(tblAPI[ACTION],"M")</f>
        <v>0</v>
      </c>
    </row>
    <row r="9" spans="1:21" ht="15" x14ac:dyDescent="0.25"/>
  </sheetData>
  <sheetProtection autoFilter="0"/>
  <dataConsolidate/>
  <dataValidations count="1">
    <dataValidation type="list" allowBlank="1" showInputMessage="1" showErrorMessage="1" errorTitle="Invalid value" error="Please select value from the list" promptTitle="Select a value" prompt="Please select value from the list" sqref="M5" xr:uid="{51A29046-D141-4F85-A865-2599981F92AA}">
      <formula1>"GET,POST,PUT"</formula1>
    </dataValidation>
  </dataValidations>
  <pageMargins left="0.7" right="0.7" top="0.75" bottom="0.75" header="0.3" footer="0.3"/>
  <pageSetup paperSize="9" orientation="portrait" r:id="rId1"/>
  <headerFooter>
    <oddFooter>&amp;L_x000D_&amp;1#&amp;"Calibri"&amp;10&amp;K000000 Classification : Private\FAB Staff Personal Data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cboAPI">
          <controlPr autoLine="0" r:id="rId5">
            <anchor moveWithCells="1">
              <from>
                <xdr:col>5</xdr:col>
                <xdr:colOff>142875</xdr:colOff>
                <xdr:row>0</xdr:row>
                <xdr:rowOff>85725</xdr:rowOff>
              </from>
              <to>
                <xdr:col>11</xdr:col>
                <xdr:colOff>95250</xdr:colOff>
                <xdr:row>0</xdr:row>
                <xdr:rowOff>304800</xdr:rowOff>
              </to>
            </anchor>
          </controlPr>
        </control>
      </mc:Choice>
      <mc:Fallback>
        <control shapeId="10241" r:id="rId4" name="cboAPI"/>
      </mc:Fallback>
    </mc:AlternateContent>
  </controls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24BD5-02AB-4BAB-8D6D-339262D08C65}">
  <sheetPr codeName="sh04"/>
  <dimension ref="A1:T7"/>
  <sheetViews>
    <sheetView showGridLines="0" topLeftCell="C1" zoomScaleNormal="100" workbookViewId="0">
      <pane ySplit="4" topLeftCell="A5" activePane="bottomLeft" state="frozen"/>
      <selection activeCell="C1" sqref="C1"/>
      <selection pane="bottomLeft" activeCell="E4" sqref="E4"/>
    </sheetView>
  </sheetViews>
  <sheetFormatPr defaultColWidth="0" defaultRowHeight="16.5" customHeight="1" x14ac:dyDescent="0.25"/>
  <cols>
    <col min="1" max="1" width="16" hidden="1" customWidth="1"/>
    <col min="2" max="2" width="18.140625" hidden="1" customWidth="1"/>
    <col min="3" max="3" width="3.28515625" customWidth="1"/>
    <col min="4" max="6" width="4" customWidth="1"/>
    <col min="7" max="8" width="12.140625" hidden="1" customWidth="1"/>
    <col min="9" max="9" width="20.7109375" customWidth="1"/>
    <col min="10" max="10" width="13.5703125" hidden="1" customWidth="1"/>
    <col min="11" max="11" width="45.7109375" customWidth="1"/>
    <col min="12" max="12" width="15.28515625" customWidth="1"/>
    <col min="13" max="13" width="17.85546875" hidden="1" customWidth="1"/>
    <col min="14" max="14" width="60.7109375" customWidth="1"/>
    <col min="15" max="15" width="19.85546875" customWidth="1"/>
    <col min="16" max="16" width="11.42578125" customWidth="1"/>
    <col min="17" max="17" width="20.7109375" customWidth="1"/>
    <col min="18" max="18" width="12.42578125" customWidth="1"/>
    <col min="19" max="19" width="67.85546875" customWidth="1"/>
    <col min="20" max="20" width="14.85546875" customWidth="1"/>
    <col min="21" max="16384" width="1.7109375" hidden="1"/>
  </cols>
  <sheetData>
    <row r="1" spans="1:20" ht="64.5" customHeight="1" x14ac:dyDescent="0.25">
      <c r="A1" s="16" t="s">
        <v>32</v>
      </c>
      <c r="B1" s="18">
        <v>5</v>
      </c>
      <c r="C1" s="15"/>
      <c r="D1" s="7"/>
      <c r="E1" s="7"/>
      <c r="F1" s="8"/>
      <c r="G1" s="2" t="s">
        <v>26</v>
      </c>
      <c r="H1" s="2"/>
      <c r="I1" s="2"/>
      <c r="J1" s="14"/>
      <c r="N1" s="30" t="str">
        <f>IF($B$7&gt;0,"Data not saved","")</f>
        <v/>
      </c>
    </row>
    <row r="2" spans="1:20" ht="1.5" customHeight="1" x14ac:dyDescent="0.25">
      <c r="A2" s="16" t="s">
        <v>33</v>
      </c>
      <c r="B2" s="18">
        <v>0</v>
      </c>
      <c r="C2" s="9"/>
      <c r="D2" s="4"/>
      <c r="E2" s="4"/>
      <c r="F2" s="4"/>
      <c r="G2" s="4"/>
      <c r="H2" s="4"/>
      <c r="I2" s="5"/>
      <c r="J2" s="1"/>
      <c r="K2" s="1"/>
      <c r="L2" s="1"/>
      <c r="M2" s="1"/>
      <c r="N2" s="1"/>
      <c r="O2" s="1"/>
      <c r="P2" s="1"/>
      <c r="Q2" s="1"/>
      <c r="R2" s="1"/>
      <c r="S2" s="1"/>
      <c r="T2" s="1"/>
    </row>
    <row r="3" spans="1:20" ht="5.25" customHeight="1" x14ac:dyDescent="0.25">
      <c r="A3" s="16" t="s">
        <v>29</v>
      </c>
      <c r="B3" s="18">
        <v>1</v>
      </c>
      <c r="C3" s="10"/>
    </row>
    <row r="4" spans="1:20" ht="21" customHeight="1" thickBot="1" x14ac:dyDescent="0.3">
      <c r="A4" s="16" t="s">
        <v>30</v>
      </c>
      <c r="B4" s="18"/>
      <c r="D4" s="23" t="s">
        <v>22</v>
      </c>
      <c r="E4" s="24" t="s">
        <v>16</v>
      </c>
      <c r="F4" s="24" t="s">
        <v>23</v>
      </c>
      <c r="G4" s="25" t="s">
        <v>2</v>
      </c>
      <c r="H4" s="26" t="s">
        <v>36</v>
      </c>
      <c r="I4" s="26" t="s">
        <v>37</v>
      </c>
      <c r="J4" s="26" t="s">
        <v>24</v>
      </c>
      <c r="K4" s="26" t="s">
        <v>25</v>
      </c>
      <c r="L4" s="26" t="s">
        <v>38</v>
      </c>
      <c r="M4" s="26" t="s">
        <v>34</v>
      </c>
      <c r="N4" s="26" t="s">
        <v>35</v>
      </c>
      <c r="O4" s="26" t="s">
        <v>39</v>
      </c>
      <c r="P4" s="26" t="s">
        <v>40</v>
      </c>
      <c r="Q4" s="26" t="s">
        <v>41</v>
      </c>
      <c r="R4" s="26" t="s">
        <v>0</v>
      </c>
      <c r="S4" s="26" t="s">
        <v>42</v>
      </c>
    </row>
    <row r="5" spans="1:20" ht="16.5" customHeight="1" x14ac:dyDescent="0.25">
      <c r="A5" s="16" t="s">
        <v>43</v>
      </c>
      <c r="B5" s="18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</row>
    <row r="6" spans="1:20" ht="16.5" customHeight="1" x14ac:dyDescent="0.25">
      <c r="A6" s="16" t="s">
        <v>28</v>
      </c>
    </row>
    <row r="7" spans="1:20" ht="16.5" customHeight="1" x14ac:dyDescent="0.25">
      <c r="A7" s="16" t="s">
        <v>31</v>
      </c>
      <c r="B7" s="19">
        <f>COUNTIFS(tblMapping[ACTION],"A")+COUNTIFS(tblMapping[ACTION],"M")</f>
        <v>0</v>
      </c>
    </row>
  </sheetData>
  <sheetProtection algorithmName="SHA-512" hashValue="Jf9j7DDK9P6warbDP4sFk90YNkvQ13uLn8oSDFRy/r9gbVqjNLdhQYwz8r3bWwJziFtqLY0A0WFYHxsPlYthrw==" saltValue="cwLy65HeogH2JzHlk5Ek6Q==" spinCount="100000" sheet="1" objects="1" scenarios="1" autoFilter="0"/>
  <dataConsolidate/>
  <phoneticPr fontId="7" type="noConversion"/>
  <dataValidations count="1">
    <dataValidation type="list" allowBlank="1" showInputMessage="1" showErrorMessage="1" errorTitle="Invalid value" error="Please select value from the list" promptTitle="Select a value" prompt="Please select value from the list" sqref="R5" xr:uid="{8FC2492D-4AB2-4C7A-BE41-66C7B579AA38}">
      <formula1>"Y,N"</formula1>
    </dataValidation>
  </dataValidations>
  <pageMargins left="0.7" right="0.7" top="0.75" bottom="0.75" header="0.3" footer="0.3"/>
  <pageSetup paperSize="9" orientation="portrait" r:id="rId1"/>
  <headerFooter>
    <oddFooter>&amp;L_x000D_&amp;1#&amp;"Calibri"&amp;10&amp;K000000 Classification : Private\FAB Staff Personal Data</oddFooter>
  </headerFooter>
  <drawing r:id="rId2"/>
  <legacyDrawing r:id="rId3"/>
  <controls>
    <mc:AlternateContent xmlns:mc="http://schemas.openxmlformats.org/markup-compatibility/2006">
      <mc:Choice Requires="x14">
        <control shapeId="4097" r:id="rId4" name="cboMapping">
          <controlPr autoLine="0" r:id="rId5">
            <anchor moveWithCells="1">
              <from>
                <xdr:col>5</xdr:col>
                <xdr:colOff>142875</xdr:colOff>
                <xdr:row>0</xdr:row>
                <xdr:rowOff>85725</xdr:rowOff>
              </from>
              <to>
                <xdr:col>10</xdr:col>
                <xdr:colOff>2543175</xdr:colOff>
                <xdr:row>0</xdr:row>
                <xdr:rowOff>304800</xdr:rowOff>
              </to>
            </anchor>
          </controlPr>
        </control>
      </mc:Choice>
      <mc:Fallback>
        <control shapeId="4097" r:id="rId4" name="cboMapping"/>
      </mc:Fallback>
    </mc:AlternateContent>
  </controls>
  <tableParts count="1"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BFE14A-B1DE-4063-8148-89B4F62ABF88}">
  <sheetPr codeName="sh07"/>
  <dimension ref="A1:XFC9"/>
  <sheetViews>
    <sheetView showGridLines="0" topLeftCell="C1" zoomScaleNormal="100" workbookViewId="0">
      <pane ySplit="4" topLeftCell="A5" activePane="bottomLeft" state="frozen"/>
      <selection activeCell="C1" sqref="C1"/>
      <selection pane="bottomLeft" activeCell="E4" sqref="E4"/>
    </sheetView>
  </sheetViews>
  <sheetFormatPr defaultColWidth="0" defaultRowHeight="16.5" customHeight="1" x14ac:dyDescent="0.25"/>
  <cols>
    <col min="1" max="1" width="16" hidden="1" customWidth="1"/>
    <col min="2" max="2" width="18.140625" hidden="1" customWidth="1"/>
    <col min="3" max="3" width="3.28515625" customWidth="1"/>
    <col min="4" max="6" width="4" customWidth="1"/>
    <col min="7" max="8" width="12.140625" customWidth="1"/>
    <col min="9" max="9" width="20.7109375" customWidth="1"/>
    <col min="10" max="10" width="13.5703125" hidden="1" customWidth="1"/>
    <col min="11" max="11" width="45.7109375" customWidth="1"/>
    <col min="12" max="12" width="12.7109375" customWidth="1"/>
    <col min="13" max="13" width="17.85546875" customWidth="1"/>
    <col min="14" max="14" width="20.140625" customWidth="1"/>
    <col min="15" max="16383" width="1.7109375" hidden="1"/>
    <col min="16384" max="16384" width="4.85546875" hidden="1" customWidth="1"/>
  </cols>
  <sheetData>
    <row r="1" spans="1:14" ht="64.5" customHeight="1" x14ac:dyDescent="0.25">
      <c r="A1" s="16" t="s">
        <v>32</v>
      </c>
      <c r="B1" s="18">
        <v>5</v>
      </c>
      <c r="C1" s="15"/>
      <c r="D1" s="7"/>
      <c r="E1" s="7"/>
      <c r="F1" s="8"/>
      <c r="G1" s="2" t="s">
        <v>26</v>
      </c>
      <c r="H1" s="2"/>
      <c r="I1" s="2"/>
      <c r="J1" s="14"/>
      <c r="N1" s="30" t="str">
        <f>IF($B$7&gt;0,"Data not saved","")</f>
        <v/>
      </c>
    </row>
    <row r="2" spans="1:14" ht="1.5" customHeight="1" x14ac:dyDescent="0.25">
      <c r="A2" s="16" t="s">
        <v>33</v>
      </c>
      <c r="B2" s="18">
        <v>0</v>
      </c>
      <c r="C2" s="9"/>
      <c r="D2" s="4"/>
      <c r="E2" s="4"/>
      <c r="F2" s="4"/>
      <c r="G2" s="4"/>
      <c r="H2" s="4"/>
      <c r="I2" s="5"/>
      <c r="J2" s="1"/>
      <c r="K2" s="1"/>
      <c r="L2" s="1"/>
      <c r="M2" s="1"/>
      <c r="N2" s="1"/>
    </row>
    <row r="3" spans="1:14" ht="5.25" customHeight="1" x14ac:dyDescent="0.25">
      <c r="A3" s="16" t="s">
        <v>29</v>
      </c>
      <c r="B3" s="18">
        <v>1</v>
      </c>
      <c r="C3" s="10"/>
    </row>
    <row r="4" spans="1:14" ht="21" customHeight="1" thickBot="1" x14ac:dyDescent="0.3">
      <c r="A4" s="16" t="s">
        <v>30</v>
      </c>
      <c r="B4" s="18"/>
      <c r="D4" s="23" t="s">
        <v>22</v>
      </c>
      <c r="E4" s="24" t="s">
        <v>16</v>
      </c>
      <c r="F4" s="24" t="s">
        <v>23</v>
      </c>
      <c r="G4" s="25" t="s">
        <v>2</v>
      </c>
      <c r="H4" s="26" t="s">
        <v>61</v>
      </c>
      <c r="I4" s="26" t="s">
        <v>37</v>
      </c>
      <c r="J4" s="26" t="s">
        <v>24</v>
      </c>
      <c r="K4" s="26" t="s">
        <v>25</v>
      </c>
      <c r="L4" s="26" t="s">
        <v>62</v>
      </c>
      <c r="M4" s="26" t="s">
        <v>0</v>
      </c>
    </row>
    <row r="5" spans="1:14" ht="16.5" customHeight="1" x14ac:dyDescent="0.25">
      <c r="A5" s="16" t="s">
        <v>43</v>
      </c>
      <c r="B5" s="18"/>
      <c r="D5" s="27"/>
      <c r="E5" s="27"/>
      <c r="F5" s="27"/>
      <c r="G5" s="27"/>
      <c r="H5" s="27"/>
      <c r="I5" s="27"/>
      <c r="J5" s="27"/>
      <c r="K5" s="27"/>
      <c r="L5" s="27"/>
      <c r="M5" s="27"/>
    </row>
    <row r="6" spans="1:14" ht="16.5" customHeight="1" x14ac:dyDescent="0.25">
      <c r="A6" s="16" t="s">
        <v>28</v>
      </c>
    </row>
    <row r="7" spans="1:14" ht="16.5" customHeight="1" x14ac:dyDescent="0.25">
      <c r="A7" s="16" t="s">
        <v>31</v>
      </c>
      <c r="B7" s="19">
        <f>COUNTIFS(tblBatch[ACTION],"A")+COUNTIFS(tblBatch[ACTION],"M")</f>
        <v>0</v>
      </c>
    </row>
    <row r="9" spans="1:14" ht="15" x14ac:dyDescent="0.25"/>
  </sheetData>
  <sheetProtection algorithmName="SHA-512" hashValue="bXcIm1AIjL3PAGRlhNd/pWFtRuj7FVzSQ1W+5kD+GBQ7sn0ARINgn018V8ypQyu8CAnTESNqHyMkMbxB0/BfcA==" saltValue="Wigu+Os0gPiT1KpJ71ECHA==" spinCount="100000" sheet="1" objects="1" scenarios="1" autoFilter="0"/>
  <dataConsolidate/>
  <dataValidations count="1">
    <dataValidation type="list" allowBlank="1" showInputMessage="1" showErrorMessage="1" errorTitle="Invalid value" error="Please select value from the list" promptTitle="Select a value" prompt="Please select value from the list" sqref="M5" xr:uid="{6F4A10D0-98F9-45BA-8279-6A0590D2BD8F}">
      <formula1>"Y,N"</formula1>
    </dataValidation>
  </dataValidations>
  <pageMargins left="0.7" right="0.7" top="0.75" bottom="0.75" header="0.3" footer="0.3"/>
  <pageSetup paperSize="9" orientation="portrait" r:id="rId1"/>
  <headerFooter>
    <oddFooter>&amp;L_x000D_&amp;1#&amp;"Calibri"&amp;10&amp;K000000 Classification : Private\FAB Staff Personal Data</oddFooter>
  </headerFooter>
  <drawing r:id="rId2"/>
  <legacyDrawing r:id="rId3"/>
  <controls>
    <mc:AlternateContent xmlns:mc="http://schemas.openxmlformats.org/markup-compatibility/2006">
      <mc:Choice Requires="x14">
        <control shapeId="11265" r:id="rId4" name="cboBatch">
          <controlPr autoLine="0" r:id="rId5">
            <anchor moveWithCells="1">
              <from>
                <xdr:col>5</xdr:col>
                <xdr:colOff>142875</xdr:colOff>
                <xdr:row>0</xdr:row>
                <xdr:rowOff>85725</xdr:rowOff>
              </from>
              <to>
                <xdr:col>8</xdr:col>
                <xdr:colOff>1304925</xdr:colOff>
                <xdr:row>0</xdr:row>
                <xdr:rowOff>304800</xdr:rowOff>
              </to>
            </anchor>
          </controlPr>
        </control>
      </mc:Choice>
      <mc:Fallback>
        <control shapeId="11265" r:id="rId4" name="cboBatch"/>
      </mc:Fallback>
    </mc:AlternateContent>
  </controls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F36CD-5D97-427D-8F32-2BD1F537218B}">
  <sheetPr codeName="sh10"/>
  <dimension ref="A1:AM482"/>
  <sheetViews>
    <sheetView showGridLines="0" topLeftCell="C1" zoomScaleNormal="100" workbookViewId="0">
      <pane ySplit="4" topLeftCell="A5" activePane="bottomLeft" state="frozen"/>
      <selection activeCell="C1" sqref="C1"/>
      <selection pane="bottomLeft" activeCell="H4" sqref="H4"/>
    </sheetView>
  </sheetViews>
  <sheetFormatPr defaultColWidth="0" defaultRowHeight="16.5" customHeight="1" x14ac:dyDescent="0.25"/>
  <cols>
    <col min="1" max="2" width="10.7109375" hidden="1" customWidth="1"/>
    <col min="3" max="3" width="3.28515625" customWidth="1"/>
    <col min="4" max="6" width="4" hidden="1" customWidth="1"/>
    <col min="7" max="7" width="17.140625" hidden="1" customWidth="1"/>
    <col min="8" max="8" width="23.5703125" customWidth="1"/>
    <col min="9" max="9" width="13.42578125" hidden="1" customWidth="1"/>
    <col min="10" max="10" width="40.7109375" customWidth="1"/>
    <col min="11" max="11" width="17.140625" hidden="1" customWidth="1"/>
    <col min="12" max="12" width="50.5703125" customWidth="1"/>
    <col min="13" max="13" width="12.5703125" bestFit="1" customWidth="1"/>
    <col min="14" max="14" width="56.42578125" customWidth="1"/>
    <col min="15" max="15" width="11" hidden="1" customWidth="1"/>
    <col min="16" max="16" width="41" customWidth="1"/>
    <col min="17" max="17" width="34.85546875" customWidth="1"/>
    <col min="18" max="18" width="16.42578125" customWidth="1"/>
    <col min="19" max="19" width="20.85546875" customWidth="1"/>
    <col min="20" max="20" width="48.5703125" customWidth="1"/>
    <col min="21" max="21" width="12.85546875" customWidth="1"/>
    <col min="22" max="22" width="12.28515625" customWidth="1"/>
    <col min="23" max="23" width="14.140625" customWidth="1"/>
    <col min="24" max="25" width="68.7109375" customWidth="1"/>
    <col min="26" max="26" width="18" customWidth="1"/>
    <col min="27" max="27" width="22.28515625" customWidth="1"/>
    <col min="28" max="28" width="11.28515625" customWidth="1"/>
    <col min="29" max="29" width="20.85546875" customWidth="1"/>
    <col min="30" max="30" width="15" customWidth="1"/>
    <col min="31" max="39" width="15" hidden="1" customWidth="1"/>
    <col min="40" max="16384" width="1.7109375" hidden="1"/>
  </cols>
  <sheetData>
    <row r="1" spans="1:39" ht="64.5" customHeight="1" x14ac:dyDescent="0.25">
      <c r="A1" s="16" t="s">
        <v>32</v>
      </c>
      <c r="B1" s="18">
        <v>5</v>
      </c>
      <c r="C1" s="15"/>
      <c r="D1" s="7"/>
      <c r="E1" s="7"/>
      <c r="F1" s="8"/>
      <c r="G1" s="2" t="s">
        <v>26</v>
      </c>
      <c r="H1" s="2"/>
      <c r="I1" s="2"/>
      <c r="J1" s="14"/>
      <c r="M1" s="30" t="str">
        <f>IF($B$7&gt;0,"Data not saved","")</f>
        <v/>
      </c>
    </row>
    <row r="2" spans="1:39" ht="1.5" customHeight="1" x14ac:dyDescent="0.25">
      <c r="A2" s="16" t="s">
        <v>33</v>
      </c>
      <c r="B2" s="18">
        <v>0</v>
      </c>
      <c r="C2" s="9"/>
      <c r="D2" s="4"/>
      <c r="E2" s="4"/>
      <c r="F2" s="4"/>
      <c r="G2" s="4"/>
      <c r="H2" s="4"/>
      <c r="I2" s="5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</row>
    <row r="3" spans="1:39" ht="5.25" customHeight="1" x14ac:dyDescent="0.25">
      <c r="A3" s="16" t="s">
        <v>29</v>
      </c>
      <c r="B3" s="18">
        <v>6</v>
      </c>
      <c r="C3" s="10"/>
    </row>
    <row r="4" spans="1:39" ht="21" customHeight="1" thickBot="1" x14ac:dyDescent="0.3">
      <c r="A4" s="16" t="s">
        <v>30</v>
      </c>
      <c r="B4" s="18"/>
      <c r="D4" s="23" t="s">
        <v>22</v>
      </c>
      <c r="E4" s="24" t="s">
        <v>16</v>
      </c>
      <c r="F4" s="24" t="s">
        <v>23</v>
      </c>
      <c r="G4" s="25" t="s">
        <v>2</v>
      </c>
      <c r="H4" s="25" t="s">
        <v>37</v>
      </c>
      <c r="I4" s="25" t="s">
        <v>24</v>
      </c>
      <c r="J4" s="25" t="s">
        <v>25</v>
      </c>
      <c r="K4" s="25" t="s">
        <v>63</v>
      </c>
      <c r="L4" s="26" t="s">
        <v>35</v>
      </c>
      <c r="M4" s="26" t="s">
        <v>45</v>
      </c>
      <c r="N4" s="26" t="s">
        <v>46</v>
      </c>
      <c r="O4" s="26" t="s">
        <v>17</v>
      </c>
      <c r="P4" s="26" t="s">
        <v>18</v>
      </c>
      <c r="Q4" s="26" t="s">
        <v>19</v>
      </c>
      <c r="R4" s="26" t="s">
        <v>12</v>
      </c>
      <c r="S4" s="26" t="s">
        <v>20</v>
      </c>
      <c r="T4" s="26" t="s">
        <v>21</v>
      </c>
      <c r="U4" s="26" t="s">
        <v>10</v>
      </c>
      <c r="V4" s="26" t="s">
        <v>8</v>
      </c>
      <c r="W4" s="26" t="s">
        <v>11</v>
      </c>
      <c r="X4" s="26" t="s">
        <v>70</v>
      </c>
      <c r="Y4" s="26" t="s">
        <v>71</v>
      </c>
      <c r="Z4" s="26" t="s">
        <v>38</v>
      </c>
      <c r="AA4" s="26" t="s">
        <v>39</v>
      </c>
      <c r="AB4" s="26" t="s">
        <v>40</v>
      </c>
      <c r="AC4" s="26" t="s">
        <v>41</v>
      </c>
    </row>
    <row r="5" spans="1:39" ht="16.5" customHeight="1" x14ac:dyDescent="0.25">
      <c r="A5" s="16" t="s">
        <v>27</v>
      </c>
      <c r="B5" s="18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0"/>
      <c r="V5" s="40"/>
      <c r="W5" s="40"/>
      <c r="X5" s="40"/>
      <c r="Y5" s="40"/>
      <c r="Z5" s="45"/>
      <c r="AA5" s="45"/>
      <c r="AB5" s="45"/>
      <c r="AC5" s="45"/>
      <c r="AJ5" t="s">
        <v>3</v>
      </c>
      <c r="AK5" t="s">
        <v>3</v>
      </c>
      <c r="AL5" t="s">
        <v>3</v>
      </c>
      <c r="AM5" t="s">
        <v>218</v>
      </c>
    </row>
    <row r="6" spans="1:39" ht="16.5" customHeight="1" x14ac:dyDescent="0.25">
      <c r="A6" s="16" t="s">
        <v>28</v>
      </c>
      <c r="B6" s="19"/>
      <c r="AJ6" t="s">
        <v>3</v>
      </c>
      <c r="AK6" t="s">
        <v>3</v>
      </c>
      <c r="AL6" t="s">
        <v>3</v>
      </c>
      <c r="AM6" t="s">
        <v>74</v>
      </c>
    </row>
    <row r="7" spans="1:39" ht="16.5" customHeight="1" x14ac:dyDescent="0.25">
      <c r="A7" s="16" t="s">
        <v>31</v>
      </c>
      <c r="B7">
        <f>COUNTIFS(tblScnSteps[ACTION],"A")+COUNTIFS(tblScnSteps[ACTION],"M")</f>
        <v>0</v>
      </c>
      <c r="AJ7" t="s">
        <v>3</v>
      </c>
      <c r="AK7" t="s">
        <v>3</v>
      </c>
      <c r="AL7" t="s">
        <v>3</v>
      </c>
      <c r="AM7" t="s">
        <v>219</v>
      </c>
    </row>
    <row r="8" spans="1:39" ht="16.5" customHeight="1" x14ac:dyDescent="0.25">
      <c r="AJ8" t="s">
        <v>3</v>
      </c>
      <c r="AK8" t="s">
        <v>3</v>
      </c>
      <c r="AL8" t="s">
        <v>3</v>
      </c>
      <c r="AM8" t="s">
        <v>220</v>
      </c>
    </row>
    <row r="9" spans="1:39" ht="16.5" customHeight="1" x14ac:dyDescent="0.25">
      <c r="AJ9" t="s">
        <v>3</v>
      </c>
      <c r="AK9" t="s">
        <v>3</v>
      </c>
      <c r="AL9" t="s">
        <v>3</v>
      </c>
      <c r="AM9" t="s">
        <v>78</v>
      </c>
    </row>
    <row r="10" spans="1:39" ht="16.5" customHeight="1" x14ac:dyDescent="0.25">
      <c r="AJ10" t="s">
        <v>3</v>
      </c>
      <c r="AK10" t="s">
        <v>3</v>
      </c>
      <c r="AL10" t="s">
        <v>3</v>
      </c>
      <c r="AM10" t="s">
        <v>74</v>
      </c>
    </row>
    <row r="11" spans="1:39" ht="16.5" customHeight="1" x14ac:dyDescent="0.25">
      <c r="AJ11" t="s">
        <v>3</v>
      </c>
      <c r="AK11" t="s">
        <v>3</v>
      </c>
      <c r="AL11" t="s">
        <v>3</v>
      </c>
      <c r="AM11" t="s">
        <v>148</v>
      </c>
    </row>
    <row r="12" spans="1:39" ht="16.5" customHeight="1" x14ac:dyDescent="0.25">
      <c r="AJ12" t="s">
        <v>3</v>
      </c>
      <c r="AK12" t="s">
        <v>3</v>
      </c>
      <c r="AL12" t="s">
        <v>1</v>
      </c>
      <c r="AM12" t="s">
        <v>180</v>
      </c>
    </row>
    <row r="13" spans="1:39" ht="16.5" customHeight="1" x14ac:dyDescent="0.25">
      <c r="AJ13" t="s">
        <v>3</v>
      </c>
      <c r="AK13" t="s">
        <v>3</v>
      </c>
      <c r="AL13" t="s">
        <v>3</v>
      </c>
      <c r="AM13" t="s">
        <v>167</v>
      </c>
    </row>
    <row r="14" spans="1:39" ht="16.5" customHeight="1" x14ac:dyDescent="0.25">
      <c r="AJ14" t="s">
        <v>3</v>
      </c>
      <c r="AK14" t="s">
        <v>3</v>
      </c>
      <c r="AL14" t="s">
        <v>3</v>
      </c>
      <c r="AM14" t="s">
        <v>181</v>
      </c>
    </row>
    <row r="15" spans="1:39" ht="16.5" customHeight="1" x14ac:dyDescent="0.25">
      <c r="AJ15" t="s">
        <v>3</v>
      </c>
      <c r="AK15" t="s">
        <v>3</v>
      </c>
      <c r="AL15" t="s">
        <v>3</v>
      </c>
      <c r="AM15" t="s">
        <v>177</v>
      </c>
    </row>
    <row r="16" spans="1:39" ht="16.5" customHeight="1" x14ac:dyDescent="0.25">
      <c r="AJ16" t="s">
        <v>3</v>
      </c>
      <c r="AK16" t="s">
        <v>3</v>
      </c>
      <c r="AL16" t="s">
        <v>3</v>
      </c>
      <c r="AM16" t="s">
        <v>178</v>
      </c>
    </row>
    <row r="17" spans="36:39" ht="16.5" customHeight="1" x14ac:dyDescent="0.25">
      <c r="AJ17" t="s">
        <v>3</v>
      </c>
      <c r="AK17" t="s">
        <v>3</v>
      </c>
      <c r="AL17" t="s">
        <v>3</v>
      </c>
      <c r="AM17" t="s">
        <v>179</v>
      </c>
    </row>
    <row r="18" spans="36:39" ht="16.5" customHeight="1" x14ac:dyDescent="0.25">
      <c r="AJ18" t="s">
        <v>3</v>
      </c>
      <c r="AK18" t="s">
        <v>3</v>
      </c>
      <c r="AL18" t="s">
        <v>3</v>
      </c>
      <c r="AM18" t="s">
        <v>182</v>
      </c>
    </row>
    <row r="19" spans="36:39" ht="16.5" customHeight="1" x14ac:dyDescent="0.25">
      <c r="AJ19" t="s">
        <v>3</v>
      </c>
      <c r="AK19" t="s">
        <v>3</v>
      </c>
      <c r="AL19" t="s">
        <v>3</v>
      </c>
      <c r="AM19" t="s">
        <v>87</v>
      </c>
    </row>
    <row r="20" spans="36:39" ht="16.5" customHeight="1" x14ac:dyDescent="0.25">
      <c r="AJ20" t="s">
        <v>3</v>
      </c>
      <c r="AK20" t="s">
        <v>3</v>
      </c>
      <c r="AL20" t="s">
        <v>3</v>
      </c>
      <c r="AM20" t="s">
        <v>182</v>
      </c>
    </row>
    <row r="21" spans="36:39" ht="16.5" customHeight="1" x14ac:dyDescent="0.25">
      <c r="AJ21" t="s">
        <v>3</v>
      </c>
      <c r="AK21" t="s">
        <v>3</v>
      </c>
      <c r="AL21" t="s">
        <v>3</v>
      </c>
      <c r="AM21" t="s">
        <v>88</v>
      </c>
    </row>
    <row r="22" spans="36:39" ht="16.5" customHeight="1" x14ac:dyDescent="0.25">
      <c r="AJ22" t="s">
        <v>3</v>
      </c>
      <c r="AK22" t="s">
        <v>3</v>
      </c>
      <c r="AL22" t="s">
        <v>3</v>
      </c>
      <c r="AM22" t="s">
        <v>183</v>
      </c>
    </row>
    <row r="23" spans="36:39" ht="16.5" customHeight="1" x14ac:dyDescent="0.25">
      <c r="AJ23" t="s">
        <v>3</v>
      </c>
      <c r="AK23" t="s">
        <v>3</v>
      </c>
      <c r="AL23" t="s">
        <v>3</v>
      </c>
      <c r="AM23" t="s">
        <v>183</v>
      </c>
    </row>
    <row r="24" spans="36:39" ht="16.5" customHeight="1" x14ac:dyDescent="0.25">
      <c r="AJ24" t="s">
        <v>3</v>
      </c>
      <c r="AK24" t="s">
        <v>3</v>
      </c>
      <c r="AL24" t="s">
        <v>3</v>
      </c>
      <c r="AM24" t="s">
        <v>184</v>
      </c>
    </row>
    <row r="25" spans="36:39" ht="16.5" customHeight="1" x14ac:dyDescent="0.25">
      <c r="AJ25" t="s">
        <v>3</v>
      </c>
      <c r="AK25" t="s">
        <v>3</v>
      </c>
      <c r="AL25" t="s">
        <v>3</v>
      </c>
      <c r="AM25" t="s">
        <v>87</v>
      </c>
    </row>
    <row r="26" spans="36:39" ht="16.5" customHeight="1" x14ac:dyDescent="0.25">
      <c r="AJ26" t="s">
        <v>3</v>
      </c>
      <c r="AK26" t="s">
        <v>3</v>
      </c>
      <c r="AL26" t="s">
        <v>3</v>
      </c>
      <c r="AM26" t="s">
        <v>185</v>
      </c>
    </row>
    <row r="27" spans="36:39" ht="16.5" customHeight="1" x14ac:dyDescent="0.25">
      <c r="AJ27" t="s">
        <v>3</v>
      </c>
      <c r="AK27" t="s">
        <v>3</v>
      </c>
      <c r="AL27" t="s">
        <v>3</v>
      </c>
      <c r="AM27" t="s">
        <v>185</v>
      </c>
    </row>
    <row r="28" spans="36:39" ht="16.5" customHeight="1" x14ac:dyDescent="0.25">
      <c r="AJ28" t="s">
        <v>3</v>
      </c>
      <c r="AK28" t="s">
        <v>3</v>
      </c>
      <c r="AL28" t="s">
        <v>3</v>
      </c>
      <c r="AM28" t="s">
        <v>186</v>
      </c>
    </row>
    <row r="29" spans="36:39" ht="16.5" customHeight="1" x14ac:dyDescent="0.25">
      <c r="AJ29" t="s">
        <v>1</v>
      </c>
      <c r="AK29" t="s">
        <v>3</v>
      </c>
      <c r="AL29" t="s">
        <v>3</v>
      </c>
      <c r="AM29" t="s">
        <v>78</v>
      </c>
    </row>
    <row r="30" spans="36:39" ht="16.5" customHeight="1" x14ac:dyDescent="0.25">
      <c r="AJ30" t="s">
        <v>3</v>
      </c>
      <c r="AK30" t="s">
        <v>3</v>
      </c>
      <c r="AL30" t="s">
        <v>3</v>
      </c>
      <c r="AM30" t="s">
        <v>167</v>
      </c>
    </row>
    <row r="31" spans="36:39" ht="16.5" customHeight="1" x14ac:dyDescent="0.25">
      <c r="AJ31" t="s">
        <v>3</v>
      </c>
      <c r="AK31" t="s">
        <v>3</v>
      </c>
      <c r="AL31" t="s">
        <v>3</v>
      </c>
      <c r="AM31" t="s">
        <v>167</v>
      </c>
    </row>
    <row r="32" spans="36:39" ht="16.5" customHeight="1" x14ac:dyDescent="0.25">
      <c r="AJ32" t="s">
        <v>3</v>
      </c>
      <c r="AK32" t="s">
        <v>3</v>
      </c>
      <c r="AL32" t="s">
        <v>3</v>
      </c>
      <c r="AM32" t="s">
        <v>187</v>
      </c>
    </row>
    <row r="33" spans="36:39" ht="16.5" customHeight="1" x14ac:dyDescent="0.25">
      <c r="AJ33" t="s">
        <v>3</v>
      </c>
      <c r="AK33" t="s">
        <v>3</v>
      </c>
      <c r="AL33" t="s">
        <v>3</v>
      </c>
      <c r="AM33" t="s">
        <v>188</v>
      </c>
    </row>
    <row r="34" spans="36:39" ht="16.5" customHeight="1" x14ac:dyDescent="0.25">
      <c r="AJ34" t="s">
        <v>3</v>
      </c>
      <c r="AK34" t="s">
        <v>3</v>
      </c>
      <c r="AL34" t="s">
        <v>3</v>
      </c>
      <c r="AM34" t="s">
        <v>78</v>
      </c>
    </row>
    <row r="35" spans="36:39" ht="16.5" customHeight="1" x14ac:dyDescent="0.25">
      <c r="AJ35" t="s">
        <v>3</v>
      </c>
      <c r="AK35" t="s">
        <v>3</v>
      </c>
      <c r="AL35" t="s">
        <v>3</v>
      </c>
      <c r="AM35" t="s">
        <v>89</v>
      </c>
    </row>
    <row r="36" spans="36:39" ht="16.5" customHeight="1" x14ac:dyDescent="0.25">
      <c r="AJ36" t="s">
        <v>3</v>
      </c>
      <c r="AK36" t="s">
        <v>3</v>
      </c>
      <c r="AL36" t="s">
        <v>3</v>
      </c>
      <c r="AM36" t="s">
        <v>90</v>
      </c>
    </row>
    <row r="37" spans="36:39" ht="16.5" customHeight="1" x14ac:dyDescent="0.25">
      <c r="AJ37" t="s">
        <v>3</v>
      </c>
      <c r="AK37" t="s">
        <v>3</v>
      </c>
      <c r="AL37" t="s">
        <v>3</v>
      </c>
      <c r="AM37" t="s">
        <v>182</v>
      </c>
    </row>
    <row r="38" spans="36:39" ht="16.5" customHeight="1" x14ac:dyDescent="0.25">
      <c r="AJ38" t="s">
        <v>3</v>
      </c>
      <c r="AK38" t="s">
        <v>3</v>
      </c>
      <c r="AL38" t="s">
        <v>3</v>
      </c>
      <c r="AM38" t="s">
        <v>183</v>
      </c>
    </row>
    <row r="39" spans="36:39" ht="16.5" customHeight="1" x14ac:dyDescent="0.25">
      <c r="AJ39" t="s">
        <v>3</v>
      </c>
      <c r="AK39" t="s">
        <v>3</v>
      </c>
      <c r="AL39" t="s">
        <v>3</v>
      </c>
      <c r="AM39" t="s">
        <v>78</v>
      </c>
    </row>
    <row r="40" spans="36:39" ht="16.5" customHeight="1" x14ac:dyDescent="0.25">
      <c r="AJ40" t="s">
        <v>1</v>
      </c>
      <c r="AK40" t="s">
        <v>3</v>
      </c>
      <c r="AL40" t="s">
        <v>3</v>
      </c>
      <c r="AM40" t="s">
        <v>78</v>
      </c>
    </row>
    <row r="41" spans="36:39" ht="16.5" customHeight="1" x14ac:dyDescent="0.25">
      <c r="AJ41" t="s">
        <v>3</v>
      </c>
      <c r="AK41" t="s">
        <v>3</v>
      </c>
      <c r="AL41" t="s">
        <v>3</v>
      </c>
      <c r="AM41" t="s">
        <v>168</v>
      </c>
    </row>
    <row r="42" spans="36:39" ht="16.5" customHeight="1" x14ac:dyDescent="0.25">
      <c r="AJ42" t="s">
        <v>3</v>
      </c>
      <c r="AK42" t="s">
        <v>3</v>
      </c>
      <c r="AL42" t="s">
        <v>3</v>
      </c>
      <c r="AM42" t="s">
        <v>169</v>
      </c>
    </row>
    <row r="43" spans="36:39" ht="16.5" customHeight="1" x14ac:dyDescent="0.25">
      <c r="AJ43" t="s">
        <v>3</v>
      </c>
      <c r="AK43" t="s">
        <v>3</v>
      </c>
      <c r="AL43" t="s">
        <v>3</v>
      </c>
      <c r="AM43" t="s">
        <v>189</v>
      </c>
    </row>
    <row r="44" spans="36:39" ht="16.5" customHeight="1" x14ac:dyDescent="0.25">
      <c r="AJ44" t="s">
        <v>3</v>
      </c>
      <c r="AK44" t="s">
        <v>3</v>
      </c>
      <c r="AL44" t="s">
        <v>3</v>
      </c>
      <c r="AM44" t="s">
        <v>91</v>
      </c>
    </row>
    <row r="45" spans="36:39" ht="16.5" customHeight="1" x14ac:dyDescent="0.25">
      <c r="AJ45" t="s">
        <v>3</v>
      </c>
      <c r="AK45" t="s">
        <v>3</v>
      </c>
      <c r="AL45" t="s">
        <v>3</v>
      </c>
      <c r="AM45" t="s">
        <v>170</v>
      </c>
    </row>
    <row r="46" spans="36:39" ht="16.5" customHeight="1" x14ac:dyDescent="0.25">
      <c r="AJ46" t="s">
        <v>3</v>
      </c>
      <c r="AK46" t="s">
        <v>3</v>
      </c>
      <c r="AL46" t="s">
        <v>3</v>
      </c>
      <c r="AM46" t="s">
        <v>171</v>
      </c>
    </row>
    <row r="47" spans="36:39" ht="16.5" customHeight="1" x14ac:dyDescent="0.25">
      <c r="AJ47" t="s">
        <v>3</v>
      </c>
      <c r="AK47" t="s">
        <v>3</v>
      </c>
      <c r="AL47" t="s">
        <v>3</v>
      </c>
      <c r="AM47" t="s">
        <v>92</v>
      </c>
    </row>
    <row r="48" spans="36:39" ht="16.5" customHeight="1" x14ac:dyDescent="0.25">
      <c r="AJ48" t="s">
        <v>3</v>
      </c>
      <c r="AK48" t="s">
        <v>3</v>
      </c>
      <c r="AL48" t="s">
        <v>3</v>
      </c>
      <c r="AM48" t="s">
        <v>172</v>
      </c>
    </row>
    <row r="49" spans="36:39" ht="16.5" customHeight="1" x14ac:dyDescent="0.25">
      <c r="AJ49" t="s">
        <v>3</v>
      </c>
      <c r="AK49" t="s">
        <v>3</v>
      </c>
      <c r="AL49" t="s">
        <v>3</v>
      </c>
      <c r="AM49" t="s">
        <v>87</v>
      </c>
    </row>
    <row r="50" spans="36:39" ht="16.5" customHeight="1" x14ac:dyDescent="0.25">
      <c r="AJ50" t="s">
        <v>3</v>
      </c>
      <c r="AK50" t="s">
        <v>3</v>
      </c>
      <c r="AL50" t="s">
        <v>3</v>
      </c>
      <c r="AM50" t="s">
        <v>173</v>
      </c>
    </row>
    <row r="51" spans="36:39" ht="16.5" customHeight="1" x14ac:dyDescent="0.25">
      <c r="AJ51" t="s">
        <v>3</v>
      </c>
      <c r="AK51" t="s">
        <v>3</v>
      </c>
      <c r="AL51" t="s">
        <v>3</v>
      </c>
      <c r="AM51" t="s">
        <v>174</v>
      </c>
    </row>
    <row r="52" spans="36:39" ht="16.5" customHeight="1" x14ac:dyDescent="0.25">
      <c r="AJ52" t="s">
        <v>3</v>
      </c>
      <c r="AK52" t="s">
        <v>3</v>
      </c>
      <c r="AL52" t="s">
        <v>3</v>
      </c>
      <c r="AM52" t="s">
        <v>190</v>
      </c>
    </row>
    <row r="53" spans="36:39" ht="16.5" customHeight="1" x14ac:dyDescent="0.25">
      <c r="AJ53" t="s">
        <v>3</v>
      </c>
      <c r="AK53" t="s">
        <v>3</v>
      </c>
      <c r="AL53" t="s">
        <v>3</v>
      </c>
      <c r="AM53" t="s">
        <v>191</v>
      </c>
    </row>
    <row r="54" spans="36:39" ht="16.5" customHeight="1" x14ac:dyDescent="0.25">
      <c r="AJ54" t="s">
        <v>3</v>
      </c>
      <c r="AK54" t="s">
        <v>3</v>
      </c>
      <c r="AL54" t="s">
        <v>3</v>
      </c>
      <c r="AM54" t="s">
        <v>175</v>
      </c>
    </row>
    <row r="55" spans="36:39" ht="16.5" customHeight="1" x14ac:dyDescent="0.25">
      <c r="AJ55" t="s">
        <v>3</v>
      </c>
      <c r="AK55" t="s">
        <v>3</v>
      </c>
      <c r="AL55" t="s">
        <v>3</v>
      </c>
      <c r="AM55" t="s">
        <v>176</v>
      </c>
    </row>
    <row r="56" spans="36:39" ht="16.5" customHeight="1" x14ac:dyDescent="0.25">
      <c r="AJ56" t="s">
        <v>3</v>
      </c>
      <c r="AK56" t="s">
        <v>3</v>
      </c>
      <c r="AL56" t="s">
        <v>1</v>
      </c>
      <c r="AM56" t="s">
        <v>78</v>
      </c>
    </row>
    <row r="57" spans="36:39" ht="16.5" customHeight="1" x14ac:dyDescent="0.25">
      <c r="AJ57" t="s">
        <v>3</v>
      </c>
      <c r="AK57" t="s">
        <v>3</v>
      </c>
      <c r="AL57" t="s">
        <v>3</v>
      </c>
      <c r="AM57" t="s">
        <v>93</v>
      </c>
    </row>
    <row r="58" spans="36:39" ht="16.5" customHeight="1" x14ac:dyDescent="0.25">
      <c r="AJ58" t="s">
        <v>3</v>
      </c>
      <c r="AK58" t="s">
        <v>3</v>
      </c>
      <c r="AL58" t="s">
        <v>1</v>
      </c>
      <c r="AM58" t="s">
        <v>78</v>
      </c>
    </row>
    <row r="59" spans="36:39" ht="16.5" customHeight="1" x14ac:dyDescent="0.25">
      <c r="AJ59" t="s">
        <v>3</v>
      </c>
      <c r="AK59" t="s">
        <v>3</v>
      </c>
      <c r="AL59" t="s">
        <v>3</v>
      </c>
      <c r="AM59" t="s">
        <v>94</v>
      </c>
    </row>
    <row r="60" spans="36:39" ht="16.5" customHeight="1" x14ac:dyDescent="0.25">
      <c r="AJ60" t="s">
        <v>3</v>
      </c>
      <c r="AK60" t="s">
        <v>3</v>
      </c>
      <c r="AL60" t="s">
        <v>3</v>
      </c>
      <c r="AM60" t="s">
        <v>95</v>
      </c>
    </row>
    <row r="61" spans="36:39" ht="16.5" customHeight="1" x14ac:dyDescent="0.25">
      <c r="AJ61" t="s">
        <v>3</v>
      </c>
      <c r="AK61" t="s">
        <v>3</v>
      </c>
      <c r="AL61" t="s">
        <v>3</v>
      </c>
      <c r="AM61" t="s">
        <v>96</v>
      </c>
    </row>
    <row r="62" spans="36:39" ht="16.5" customHeight="1" x14ac:dyDescent="0.25">
      <c r="AJ62" t="s">
        <v>3</v>
      </c>
      <c r="AK62" t="s">
        <v>3</v>
      </c>
      <c r="AL62" t="s">
        <v>3</v>
      </c>
      <c r="AM62" t="s">
        <v>97</v>
      </c>
    </row>
    <row r="63" spans="36:39" ht="16.5" customHeight="1" x14ac:dyDescent="0.25">
      <c r="AJ63" t="s">
        <v>3</v>
      </c>
      <c r="AK63" t="s">
        <v>3</v>
      </c>
      <c r="AL63" t="s">
        <v>3</v>
      </c>
      <c r="AM63" t="s">
        <v>97</v>
      </c>
    </row>
    <row r="64" spans="36:39" ht="16.5" customHeight="1" x14ac:dyDescent="0.25">
      <c r="AJ64" t="s">
        <v>3</v>
      </c>
      <c r="AK64" t="s">
        <v>3</v>
      </c>
      <c r="AL64" t="s">
        <v>3</v>
      </c>
      <c r="AM64" t="s">
        <v>97</v>
      </c>
    </row>
    <row r="65" spans="36:39" ht="16.5" customHeight="1" x14ac:dyDescent="0.25">
      <c r="AJ65" t="s">
        <v>1</v>
      </c>
      <c r="AK65" t="s">
        <v>3</v>
      </c>
      <c r="AL65" t="s">
        <v>3</v>
      </c>
      <c r="AM65" t="s">
        <v>92</v>
      </c>
    </row>
    <row r="66" spans="36:39" ht="16.5" customHeight="1" x14ac:dyDescent="0.25">
      <c r="AJ66" t="s">
        <v>3</v>
      </c>
      <c r="AK66" t="s">
        <v>3</v>
      </c>
      <c r="AL66" t="s">
        <v>3</v>
      </c>
      <c r="AM66" t="s">
        <v>88</v>
      </c>
    </row>
    <row r="67" spans="36:39" ht="16.5" customHeight="1" x14ac:dyDescent="0.25">
      <c r="AJ67" t="s">
        <v>3</v>
      </c>
      <c r="AK67" t="s">
        <v>3</v>
      </c>
      <c r="AL67" t="s">
        <v>3</v>
      </c>
      <c r="AM67" t="s">
        <v>96</v>
      </c>
    </row>
    <row r="68" spans="36:39" ht="16.5" customHeight="1" x14ac:dyDescent="0.25">
      <c r="AJ68" t="s">
        <v>3</v>
      </c>
      <c r="AK68" t="s">
        <v>3</v>
      </c>
      <c r="AL68" t="s">
        <v>3</v>
      </c>
      <c r="AM68" t="s">
        <v>192</v>
      </c>
    </row>
    <row r="69" spans="36:39" ht="16.5" customHeight="1" x14ac:dyDescent="0.25">
      <c r="AJ69" t="s">
        <v>3</v>
      </c>
      <c r="AK69" t="s">
        <v>3</v>
      </c>
      <c r="AL69" t="s">
        <v>3</v>
      </c>
      <c r="AM69" t="s">
        <v>150</v>
      </c>
    </row>
    <row r="70" spans="36:39" ht="16.5" customHeight="1" x14ac:dyDescent="0.25">
      <c r="AJ70" t="s">
        <v>3</v>
      </c>
      <c r="AK70" t="s">
        <v>3</v>
      </c>
      <c r="AL70" t="s">
        <v>3</v>
      </c>
      <c r="AM70" t="s">
        <v>193</v>
      </c>
    </row>
    <row r="71" spans="36:39" ht="16.5" customHeight="1" x14ac:dyDescent="0.25">
      <c r="AJ71" t="s">
        <v>3</v>
      </c>
      <c r="AK71" t="s">
        <v>3</v>
      </c>
      <c r="AL71" t="s">
        <v>3</v>
      </c>
      <c r="AM71" t="s">
        <v>98</v>
      </c>
    </row>
    <row r="72" spans="36:39" ht="16.5" customHeight="1" x14ac:dyDescent="0.25">
      <c r="AJ72" t="s">
        <v>3</v>
      </c>
      <c r="AK72" t="s">
        <v>3</v>
      </c>
      <c r="AL72" t="s">
        <v>3</v>
      </c>
      <c r="AM72" t="s">
        <v>98</v>
      </c>
    </row>
    <row r="73" spans="36:39" ht="16.5" customHeight="1" x14ac:dyDescent="0.25">
      <c r="AJ73" t="s">
        <v>3</v>
      </c>
      <c r="AK73" t="s">
        <v>3</v>
      </c>
      <c r="AL73" t="s">
        <v>3</v>
      </c>
      <c r="AM73" t="s">
        <v>99</v>
      </c>
    </row>
    <row r="74" spans="36:39" ht="16.5" customHeight="1" x14ac:dyDescent="0.25">
      <c r="AJ74" t="s">
        <v>3</v>
      </c>
      <c r="AK74" t="s">
        <v>3</v>
      </c>
      <c r="AL74" t="s">
        <v>3</v>
      </c>
      <c r="AM74" t="s">
        <v>100</v>
      </c>
    </row>
    <row r="75" spans="36:39" ht="16.5" customHeight="1" x14ac:dyDescent="0.25">
      <c r="AJ75" t="s">
        <v>3</v>
      </c>
      <c r="AK75" t="s">
        <v>3</v>
      </c>
      <c r="AL75" t="s">
        <v>3</v>
      </c>
      <c r="AM75" t="s">
        <v>101</v>
      </c>
    </row>
    <row r="76" spans="36:39" ht="16.5" customHeight="1" x14ac:dyDescent="0.25">
      <c r="AJ76" t="s">
        <v>3</v>
      </c>
      <c r="AK76" t="s">
        <v>3</v>
      </c>
      <c r="AL76" t="s">
        <v>3</v>
      </c>
      <c r="AM76" t="s">
        <v>102</v>
      </c>
    </row>
    <row r="77" spans="36:39" ht="16.5" customHeight="1" x14ac:dyDescent="0.25">
      <c r="AJ77" t="s">
        <v>3</v>
      </c>
      <c r="AK77" t="s">
        <v>3</v>
      </c>
      <c r="AL77" t="s">
        <v>1</v>
      </c>
      <c r="AM77" t="s">
        <v>78</v>
      </c>
    </row>
    <row r="78" spans="36:39" ht="16.5" customHeight="1" x14ac:dyDescent="0.25">
      <c r="AJ78" t="s">
        <v>3</v>
      </c>
      <c r="AK78" t="s">
        <v>3</v>
      </c>
      <c r="AL78" t="s">
        <v>3</v>
      </c>
      <c r="AM78" t="s">
        <v>93</v>
      </c>
    </row>
    <row r="79" spans="36:39" ht="16.5" customHeight="1" x14ac:dyDescent="0.25">
      <c r="AJ79" t="s">
        <v>1</v>
      </c>
      <c r="AK79" t="s">
        <v>3</v>
      </c>
      <c r="AL79" t="s">
        <v>3</v>
      </c>
      <c r="AM79" t="s">
        <v>78</v>
      </c>
    </row>
    <row r="80" spans="36:39" ht="16.5" customHeight="1" x14ac:dyDescent="0.25">
      <c r="AJ80" t="s">
        <v>1</v>
      </c>
      <c r="AK80" t="s">
        <v>3</v>
      </c>
      <c r="AL80" t="s">
        <v>3</v>
      </c>
      <c r="AM80" t="s">
        <v>78</v>
      </c>
    </row>
    <row r="81" spans="36:39" ht="16.5" customHeight="1" x14ac:dyDescent="0.25">
      <c r="AJ81" t="s">
        <v>3</v>
      </c>
      <c r="AK81" t="s">
        <v>3</v>
      </c>
      <c r="AL81" t="s">
        <v>3</v>
      </c>
      <c r="AM81" t="s">
        <v>103</v>
      </c>
    </row>
    <row r="82" spans="36:39" ht="16.5" customHeight="1" x14ac:dyDescent="0.25">
      <c r="AJ82" t="s">
        <v>3</v>
      </c>
      <c r="AK82" t="s">
        <v>3</v>
      </c>
      <c r="AL82" t="s">
        <v>3</v>
      </c>
      <c r="AM82" t="s">
        <v>95</v>
      </c>
    </row>
    <row r="83" spans="36:39" ht="16.5" customHeight="1" x14ac:dyDescent="0.25">
      <c r="AJ83" t="s">
        <v>3</v>
      </c>
      <c r="AK83" t="s">
        <v>3</v>
      </c>
      <c r="AL83" t="s">
        <v>3</v>
      </c>
      <c r="AM83" t="s">
        <v>96</v>
      </c>
    </row>
    <row r="84" spans="36:39" ht="16.5" customHeight="1" x14ac:dyDescent="0.25">
      <c r="AJ84" t="s">
        <v>3</v>
      </c>
      <c r="AK84" t="s">
        <v>3</v>
      </c>
      <c r="AL84" t="s">
        <v>3</v>
      </c>
      <c r="AM84" t="s">
        <v>97</v>
      </c>
    </row>
    <row r="85" spans="36:39" ht="16.5" customHeight="1" x14ac:dyDescent="0.25">
      <c r="AJ85" t="s">
        <v>3</v>
      </c>
      <c r="AK85" t="s">
        <v>3</v>
      </c>
      <c r="AL85" t="s">
        <v>3</v>
      </c>
      <c r="AM85" t="s">
        <v>97</v>
      </c>
    </row>
    <row r="86" spans="36:39" ht="16.5" customHeight="1" x14ac:dyDescent="0.25">
      <c r="AJ86" t="s">
        <v>3</v>
      </c>
      <c r="AK86" t="s">
        <v>3</v>
      </c>
      <c r="AL86" t="s">
        <v>3</v>
      </c>
      <c r="AM86" t="s">
        <v>97</v>
      </c>
    </row>
    <row r="87" spans="36:39" ht="16.5" customHeight="1" x14ac:dyDescent="0.25">
      <c r="AJ87" t="s">
        <v>1</v>
      </c>
      <c r="AK87" t="s">
        <v>3</v>
      </c>
      <c r="AL87" t="s">
        <v>3</v>
      </c>
      <c r="AM87" t="s">
        <v>92</v>
      </c>
    </row>
    <row r="88" spans="36:39" ht="16.5" customHeight="1" x14ac:dyDescent="0.25">
      <c r="AJ88" t="s">
        <v>3</v>
      </c>
      <c r="AK88" t="s">
        <v>3</v>
      </c>
      <c r="AL88" t="s">
        <v>3</v>
      </c>
      <c r="AM88" t="s">
        <v>88</v>
      </c>
    </row>
    <row r="89" spans="36:39" ht="16.5" customHeight="1" x14ac:dyDescent="0.25">
      <c r="AJ89" t="s">
        <v>3</v>
      </c>
      <c r="AK89" t="s">
        <v>3</v>
      </c>
      <c r="AL89" t="s">
        <v>3</v>
      </c>
      <c r="AM89" t="s">
        <v>96</v>
      </c>
    </row>
    <row r="90" spans="36:39" ht="16.5" customHeight="1" x14ac:dyDescent="0.25">
      <c r="AJ90" t="s">
        <v>3</v>
      </c>
      <c r="AK90" t="s">
        <v>3</v>
      </c>
      <c r="AL90" t="s">
        <v>3</v>
      </c>
      <c r="AM90" t="s">
        <v>194</v>
      </c>
    </row>
    <row r="91" spans="36:39" ht="16.5" customHeight="1" x14ac:dyDescent="0.25">
      <c r="AJ91" t="s">
        <v>3</v>
      </c>
      <c r="AK91" t="s">
        <v>3</v>
      </c>
      <c r="AL91" t="s">
        <v>3</v>
      </c>
      <c r="AM91" t="s">
        <v>150</v>
      </c>
    </row>
    <row r="92" spans="36:39" ht="16.5" customHeight="1" x14ac:dyDescent="0.25">
      <c r="AJ92" t="s">
        <v>3</v>
      </c>
      <c r="AK92" t="s">
        <v>3</v>
      </c>
      <c r="AL92" t="s">
        <v>3</v>
      </c>
      <c r="AM92" t="s">
        <v>193</v>
      </c>
    </row>
    <row r="93" spans="36:39" ht="16.5" customHeight="1" x14ac:dyDescent="0.25">
      <c r="AJ93" t="s">
        <v>3</v>
      </c>
      <c r="AK93" t="s">
        <v>3</v>
      </c>
      <c r="AL93" t="s">
        <v>3</v>
      </c>
      <c r="AM93" t="s">
        <v>98</v>
      </c>
    </row>
    <row r="94" spans="36:39" ht="16.5" customHeight="1" x14ac:dyDescent="0.25">
      <c r="AJ94" t="s">
        <v>3</v>
      </c>
      <c r="AK94" t="s">
        <v>3</v>
      </c>
      <c r="AL94" t="s">
        <v>3</v>
      </c>
      <c r="AM94" t="s">
        <v>98</v>
      </c>
    </row>
    <row r="95" spans="36:39" ht="16.5" customHeight="1" x14ac:dyDescent="0.25">
      <c r="AJ95" t="s">
        <v>3</v>
      </c>
      <c r="AK95" t="s">
        <v>3</v>
      </c>
      <c r="AL95" t="s">
        <v>3</v>
      </c>
      <c r="AM95" t="s">
        <v>104</v>
      </c>
    </row>
    <row r="96" spans="36:39" ht="16.5" customHeight="1" x14ac:dyDescent="0.25">
      <c r="AJ96" t="s">
        <v>3</v>
      </c>
      <c r="AK96" t="s">
        <v>3</v>
      </c>
      <c r="AL96" t="s">
        <v>3</v>
      </c>
      <c r="AM96" t="s">
        <v>100</v>
      </c>
    </row>
    <row r="97" spans="36:39" ht="16.5" customHeight="1" x14ac:dyDescent="0.25">
      <c r="AJ97" t="s">
        <v>3</v>
      </c>
      <c r="AK97" t="s">
        <v>3</v>
      </c>
      <c r="AL97" t="s">
        <v>3</v>
      </c>
      <c r="AM97" t="s">
        <v>101</v>
      </c>
    </row>
    <row r="98" spans="36:39" ht="16.5" customHeight="1" x14ac:dyDescent="0.25">
      <c r="AJ98" t="s">
        <v>1</v>
      </c>
      <c r="AK98" t="s">
        <v>3</v>
      </c>
      <c r="AL98" t="s">
        <v>3</v>
      </c>
      <c r="AM98" t="s">
        <v>102</v>
      </c>
    </row>
    <row r="99" spans="36:39" ht="16.5" customHeight="1" x14ac:dyDescent="0.25">
      <c r="AJ99" t="s">
        <v>3</v>
      </c>
      <c r="AK99" t="s">
        <v>3</v>
      </c>
      <c r="AL99" t="s">
        <v>1</v>
      </c>
      <c r="AM99" t="s">
        <v>78</v>
      </c>
    </row>
    <row r="100" spans="36:39" ht="16.5" customHeight="1" x14ac:dyDescent="0.25">
      <c r="AJ100" t="s">
        <v>3</v>
      </c>
      <c r="AK100" t="s">
        <v>3</v>
      </c>
      <c r="AL100" t="s">
        <v>3</v>
      </c>
      <c r="AM100" t="s">
        <v>93</v>
      </c>
    </row>
    <row r="101" spans="36:39" ht="16.5" customHeight="1" x14ac:dyDescent="0.25">
      <c r="AJ101" t="s">
        <v>1</v>
      </c>
      <c r="AK101" t="s">
        <v>3</v>
      </c>
      <c r="AL101" t="s">
        <v>3</v>
      </c>
      <c r="AM101" t="s">
        <v>78</v>
      </c>
    </row>
    <row r="102" spans="36:39" ht="16.5" customHeight="1" x14ac:dyDescent="0.25">
      <c r="AJ102" t="s">
        <v>3</v>
      </c>
      <c r="AK102" t="s">
        <v>3</v>
      </c>
      <c r="AL102" t="s">
        <v>1</v>
      </c>
      <c r="AM102" t="s">
        <v>78</v>
      </c>
    </row>
    <row r="103" spans="36:39" ht="16.5" customHeight="1" x14ac:dyDescent="0.25">
      <c r="AJ103" t="s">
        <v>3</v>
      </c>
      <c r="AK103" t="s">
        <v>3</v>
      </c>
      <c r="AL103" t="s">
        <v>3</v>
      </c>
      <c r="AM103" t="s">
        <v>78</v>
      </c>
    </row>
    <row r="104" spans="36:39" ht="16.5" customHeight="1" x14ac:dyDescent="0.25">
      <c r="AJ104" t="s">
        <v>3</v>
      </c>
      <c r="AK104" t="s">
        <v>3</v>
      </c>
      <c r="AL104" t="s">
        <v>3</v>
      </c>
      <c r="AM104" t="s">
        <v>105</v>
      </c>
    </row>
    <row r="105" spans="36:39" ht="16.5" customHeight="1" x14ac:dyDescent="0.25">
      <c r="AJ105" t="s">
        <v>3</v>
      </c>
      <c r="AK105" t="s">
        <v>3</v>
      </c>
      <c r="AL105" t="s">
        <v>3</v>
      </c>
      <c r="AM105" t="s">
        <v>106</v>
      </c>
    </row>
    <row r="106" spans="36:39" ht="16.5" customHeight="1" x14ac:dyDescent="0.25">
      <c r="AJ106" t="s">
        <v>3</v>
      </c>
      <c r="AK106" t="s">
        <v>3</v>
      </c>
      <c r="AL106" t="s">
        <v>3</v>
      </c>
      <c r="AM106" t="s">
        <v>107</v>
      </c>
    </row>
    <row r="107" spans="36:39" ht="16.5" customHeight="1" x14ac:dyDescent="0.25">
      <c r="AJ107" t="s">
        <v>3</v>
      </c>
      <c r="AK107" t="s">
        <v>3</v>
      </c>
      <c r="AL107" t="s">
        <v>3</v>
      </c>
      <c r="AM107" t="s">
        <v>195</v>
      </c>
    </row>
    <row r="108" spans="36:39" ht="16.5" customHeight="1" x14ac:dyDescent="0.25">
      <c r="AJ108" t="s">
        <v>3</v>
      </c>
      <c r="AK108" t="s">
        <v>3</v>
      </c>
      <c r="AL108" t="s">
        <v>3</v>
      </c>
      <c r="AM108" t="s">
        <v>108</v>
      </c>
    </row>
    <row r="109" spans="36:39" ht="16.5" customHeight="1" x14ac:dyDescent="0.25">
      <c r="AJ109" t="s">
        <v>3</v>
      </c>
      <c r="AK109" t="s">
        <v>3</v>
      </c>
      <c r="AL109" t="s">
        <v>3</v>
      </c>
      <c r="AM109" t="s">
        <v>109</v>
      </c>
    </row>
    <row r="110" spans="36:39" ht="16.5" customHeight="1" x14ac:dyDescent="0.25">
      <c r="AJ110" t="s">
        <v>3</v>
      </c>
      <c r="AK110" t="s">
        <v>3</v>
      </c>
      <c r="AL110" t="s">
        <v>3</v>
      </c>
      <c r="AM110" t="s">
        <v>110</v>
      </c>
    </row>
    <row r="111" spans="36:39" ht="16.5" customHeight="1" x14ac:dyDescent="0.25">
      <c r="AJ111" t="s">
        <v>3</v>
      </c>
      <c r="AK111" t="s">
        <v>3</v>
      </c>
      <c r="AL111" t="s">
        <v>1</v>
      </c>
      <c r="AM111" t="s">
        <v>78</v>
      </c>
    </row>
    <row r="112" spans="36:39" ht="16.5" customHeight="1" x14ac:dyDescent="0.25">
      <c r="AJ112" t="s">
        <v>3</v>
      </c>
      <c r="AK112" t="s">
        <v>3</v>
      </c>
      <c r="AL112" t="s">
        <v>3</v>
      </c>
      <c r="AM112" t="s">
        <v>93</v>
      </c>
    </row>
    <row r="113" spans="36:39" ht="16.5" customHeight="1" x14ac:dyDescent="0.25">
      <c r="AJ113" t="s">
        <v>3</v>
      </c>
      <c r="AK113" t="s">
        <v>3</v>
      </c>
      <c r="AL113" t="s">
        <v>1</v>
      </c>
      <c r="AM113" t="s">
        <v>78</v>
      </c>
    </row>
    <row r="114" spans="36:39" ht="16.5" customHeight="1" x14ac:dyDescent="0.25">
      <c r="AJ114" t="s">
        <v>3</v>
      </c>
      <c r="AK114" t="s">
        <v>3</v>
      </c>
      <c r="AL114" t="s">
        <v>3</v>
      </c>
      <c r="AM114" t="s">
        <v>111</v>
      </c>
    </row>
    <row r="115" spans="36:39" ht="16.5" customHeight="1" x14ac:dyDescent="0.25">
      <c r="AJ115" t="s">
        <v>3</v>
      </c>
      <c r="AK115" t="s">
        <v>3</v>
      </c>
      <c r="AL115" t="s">
        <v>3</v>
      </c>
      <c r="AM115" t="s">
        <v>196</v>
      </c>
    </row>
    <row r="116" spans="36:39" ht="16.5" customHeight="1" x14ac:dyDescent="0.25">
      <c r="AJ116" t="s">
        <v>3</v>
      </c>
      <c r="AK116" t="s">
        <v>3</v>
      </c>
      <c r="AL116" t="s">
        <v>3</v>
      </c>
      <c r="AM116" t="s">
        <v>197</v>
      </c>
    </row>
    <row r="117" spans="36:39" ht="16.5" customHeight="1" x14ac:dyDescent="0.25">
      <c r="AJ117" t="s">
        <v>3</v>
      </c>
      <c r="AK117" t="s">
        <v>3</v>
      </c>
      <c r="AL117" t="s">
        <v>1</v>
      </c>
      <c r="AM117" t="s">
        <v>78</v>
      </c>
    </row>
    <row r="118" spans="36:39" ht="16.5" customHeight="1" x14ac:dyDescent="0.25">
      <c r="AJ118" t="s">
        <v>3</v>
      </c>
      <c r="AK118" t="s">
        <v>3</v>
      </c>
      <c r="AL118" t="s">
        <v>3</v>
      </c>
      <c r="AM118" t="s">
        <v>93</v>
      </c>
    </row>
    <row r="119" spans="36:39" ht="16.5" customHeight="1" x14ac:dyDescent="0.25">
      <c r="AJ119" t="s">
        <v>3</v>
      </c>
      <c r="AK119" t="s">
        <v>3</v>
      </c>
      <c r="AL119" t="s">
        <v>1</v>
      </c>
      <c r="AM119" t="s">
        <v>78</v>
      </c>
    </row>
    <row r="120" spans="36:39" ht="16.5" customHeight="1" x14ac:dyDescent="0.25">
      <c r="AJ120" t="s">
        <v>3</v>
      </c>
      <c r="AK120" t="s">
        <v>3</v>
      </c>
      <c r="AL120" t="s">
        <v>3</v>
      </c>
      <c r="AM120" t="s">
        <v>151</v>
      </c>
    </row>
    <row r="121" spans="36:39" ht="16.5" customHeight="1" x14ac:dyDescent="0.25">
      <c r="AJ121" t="s">
        <v>3</v>
      </c>
      <c r="AK121" t="s">
        <v>3</v>
      </c>
      <c r="AL121" t="s">
        <v>3</v>
      </c>
      <c r="AM121" t="s">
        <v>88</v>
      </c>
    </row>
    <row r="122" spans="36:39" ht="16.5" customHeight="1" x14ac:dyDescent="0.25">
      <c r="AJ122" t="s">
        <v>3</v>
      </c>
      <c r="AK122" t="s">
        <v>3</v>
      </c>
      <c r="AL122" t="s">
        <v>3</v>
      </c>
      <c r="AM122" t="s">
        <v>198</v>
      </c>
    </row>
    <row r="123" spans="36:39" ht="16.5" customHeight="1" x14ac:dyDescent="0.25">
      <c r="AJ123" t="s">
        <v>3</v>
      </c>
      <c r="AK123" t="s">
        <v>3</v>
      </c>
      <c r="AL123" t="s">
        <v>3</v>
      </c>
      <c r="AM123" t="s">
        <v>199</v>
      </c>
    </row>
    <row r="124" spans="36:39" ht="16.5" customHeight="1" x14ac:dyDescent="0.25">
      <c r="AJ124" t="s">
        <v>3</v>
      </c>
      <c r="AK124" t="s">
        <v>3</v>
      </c>
      <c r="AL124" t="s">
        <v>3</v>
      </c>
      <c r="AM124" t="s">
        <v>91</v>
      </c>
    </row>
    <row r="125" spans="36:39" ht="16.5" customHeight="1" x14ac:dyDescent="0.25">
      <c r="AJ125" t="s">
        <v>3</v>
      </c>
      <c r="AK125" t="s">
        <v>3</v>
      </c>
      <c r="AL125" t="s">
        <v>3</v>
      </c>
      <c r="AM125" t="s">
        <v>112</v>
      </c>
    </row>
    <row r="126" spans="36:39" ht="16.5" customHeight="1" x14ac:dyDescent="0.25">
      <c r="AJ126" t="s">
        <v>3</v>
      </c>
      <c r="AK126" t="s">
        <v>3</v>
      </c>
      <c r="AL126" t="s">
        <v>1</v>
      </c>
      <c r="AM126" t="s">
        <v>78</v>
      </c>
    </row>
    <row r="127" spans="36:39" ht="16.5" customHeight="1" x14ac:dyDescent="0.25">
      <c r="AJ127" t="s">
        <v>3</v>
      </c>
      <c r="AK127" t="s">
        <v>3</v>
      </c>
      <c r="AL127" t="s">
        <v>3</v>
      </c>
      <c r="AM127" t="s">
        <v>93</v>
      </c>
    </row>
    <row r="128" spans="36:39" ht="16.5" customHeight="1" x14ac:dyDescent="0.25">
      <c r="AJ128" t="s">
        <v>3</v>
      </c>
      <c r="AK128" t="s">
        <v>3</v>
      </c>
      <c r="AL128" t="s">
        <v>3</v>
      </c>
      <c r="AM128" t="s">
        <v>152</v>
      </c>
    </row>
    <row r="129" spans="36:39" ht="16.5" customHeight="1" x14ac:dyDescent="0.25">
      <c r="AJ129" t="s">
        <v>3</v>
      </c>
      <c r="AK129" t="s">
        <v>3</v>
      </c>
      <c r="AL129" t="s">
        <v>3</v>
      </c>
      <c r="AM129" t="s">
        <v>184</v>
      </c>
    </row>
    <row r="130" spans="36:39" ht="16.5" customHeight="1" x14ac:dyDescent="0.25">
      <c r="AJ130" t="s">
        <v>3</v>
      </c>
      <c r="AK130" t="s">
        <v>3</v>
      </c>
      <c r="AL130" t="s">
        <v>3</v>
      </c>
      <c r="AM130" t="s">
        <v>200</v>
      </c>
    </row>
    <row r="131" spans="36:39" ht="16.5" customHeight="1" x14ac:dyDescent="0.25">
      <c r="AJ131" t="s">
        <v>3</v>
      </c>
      <c r="AK131" t="s">
        <v>3</v>
      </c>
      <c r="AL131" t="s">
        <v>3</v>
      </c>
      <c r="AM131" t="s">
        <v>88</v>
      </c>
    </row>
    <row r="132" spans="36:39" ht="16.5" customHeight="1" x14ac:dyDescent="0.25">
      <c r="AJ132" t="s">
        <v>3</v>
      </c>
      <c r="AK132" t="s">
        <v>3</v>
      </c>
      <c r="AL132" t="s">
        <v>3</v>
      </c>
      <c r="AM132" t="s">
        <v>78</v>
      </c>
    </row>
    <row r="133" spans="36:39" ht="16.5" customHeight="1" x14ac:dyDescent="0.25">
      <c r="AJ133" t="s">
        <v>3</v>
      </c>
      <c r="AK133" t="s">
        <v>3</v>
      </c>
      <c r="AL133" t="s">
        <v>1</v>
      </c>
      <c r="AM133" t="s">
        <v>78</v>
      </c>
    </row>
    <row r="134" spans="36:39" ht="16.5" customHeight="1" x14ac:dyDescent="0.25">
      <c r="AJ134" t="s">
        <v>3</v>
      </c>
      <c r="AK134" t="s">
        <v>3</v>
      </c>
      <c r="AL134" t="s">
        <v>3</v>
      </c>
      <c r="AM134" t="s">
        <v>78</v>
      </c>
    </row>
    <row r="135" spans="36:39" ht="16.5" customHeight="1" x14ac:dyDescent="0.25">
      <c r="AJ135" t="s">
        <v>3</v>
      </c>
      <c r="AK135" t="s">
        <v>3</v>
      </c>
      <c r="AL135" t="s">
        <v>3</v>
      </c>
      <c r="AM135" t="s">
        <v>87</v>
      </c>
    </row>
    <row r="136" spans="36:39" ht="16.5" customHeight="1" x14ac:dyDescent="0.25">
      <c r="AJ136" t="s">
        <v>3</v>
      </c>
      <c r="AK136" t="s">
        <v>3</v>
      </c>
      <c r="AL136" t="s">
        <v>3</v>
      </c>
      <c r="AM136" t="s">
        <v>87</v>
      </c>
    </row>
    <row r="137" spans="36:39" ht="16.5" customHeight="1" x14ac:dyDescent="0.25">
      <c r="AJ137" t="s">
        <v>3</v>
      </c>
      <c r="AK137" t="s">
        <v>3</v>
      </c>
      <c r="AL137" t="s">
        <v>3</v>
      </c>
      <c r="AM137" t="s">
        <v>78</v>
      </c>
    </row>
    <row r="138" spans="36:39" ht="16.5" customHeight="1" x14ac:dyDescent="0.25">
      <c r="AJ138" t="s">
        <v>3</v>
      </c>
      <c r="AK138" t="s">
        <v>3</v>
      </c>
      <c r="AL138" t="s">
        <v>3</v>
      </c>
      <c r="AM138" t="s">
        <v>87</v>
      </c>
    </row>
    <row r="139" spans="36:39" ht="16.5" customHeight="1" x14ac:dyDescent="0.25">
      <c r="AJ139" t="s">
        <v>3</v>
      </c>
      <c r="AK139" t="s">
        <v>3</v>
      </c>
      <c r="AL139" t="s">
        <v>3</v>
      </c>
      <c r="AM139" t="s">
        <v>201</v>
      </c>
    </row>
    <row r="140" spans="36:39" ht="16.5" customHeight="1" x14ac:dyDescent="0.25">
      <c r="AJ140" t="s">
        <v>3</v>
      </c>
      <c r="AK140" t="s">
        <v>3</v>
      </c>
      <c r="AL140" t="s">
        <v>3</v>
      </c>
      <c r="AM140" t="s">
        <v>78</v>
      </c>
    </row>
    <row r="141" spans="36:39" ht="16.5" customHeight="1" x14ac:dyDescent="0.25">
      <c r="AJ141" t="s">
        <v>3</v>
      </c>
      <c r="AK141" t="s">
        <v>3</v>
      </c>
      <c r="AL141" t="s">
        <v>3</v>
      </c>
      <c r="AM141" t="s">
        <v>202</v>
      </c>
    </row>
    <row r="142" spans="36:39" ht="16.5" customHeight="1" x14ac:dyDescent="0.25">
      <c r="AJ142" t="s">
        <v>3</v>
      </c>
      <c r="AK142" t="s">
        <v>3</v>
      </c>
      <c r="AL142" t="s">
        <v>3</v>
      </c>
      <c r="AM142" t="s">
        <v>203</v>
      </c>
    </row>
    <row r="143" spans="36:39" ht="16.5" customHeight="1" x14ac:dyDescent="0.25">
      <c r="AJ143" t="s">
        <v>3</v>
      </c>
      <c r="AK143" t="s">
        <v>3</v>
      </c>
      <c r="AL143" t="s">
        <v>3</v>
      </c>
      <c r="AM143" t="s">
        <v>182</v>
      </c>
    </row>
    <row r="144" spans="36:39" ht="16.5" customHeight="1" x14ac:dyDescent="0.25">
      <c r="AJ144" t="s">
        <v>3</v>
      </c>
      <c r="AK144" t="s">
        <v>3</v>
      </c>
      <c r="AL144" t="s">
        <v>3</v>
      </c>
      <c r="AM144" t="s">
        <v>204</v>
      </c>
    </row>
    <row r="145" spans="36:39" ht="16.5" customHeight="1" x14ac:dyDescent="0.25">
      <c r="AJ145" t="s">
        <v>3</v>
      </c>
      <c r="AK145" t="s">
        <v>3</v>
      </c>
      <c r="AL145" t="s">
        <v>3</v>
      </c>
      <c r="AM145" t="s">
        <v>205</v>
      </c>
    </row>
    <row r="146" spans="36:39" ht="16.5" customHeight="1" x14ac:dyDescent="0.25">
      <c r="AJ146" t="s">
        <v>3</v>
      </c>
      <c r="AK146" t="s">
        <v>3</v>
      </c>
      <c r="AL146" t="s">
        <v>3</v>
      </c>
      <c r="AM146" t="s">
        <v>206</v>
      </c>
    </row>
    <row r="147" spans="36:39" ht="16.5" customHeight="1" x14ac:dyDescent="0.25">
      <c r="AJ147" t="s">
        <v>3</v>
      </c>
      <c r="AK147" t="s">
        <v>3</v>
      </c>
      <c r="AL147" t="s">
        <v>3</v>
      </c>
      <c r="AM147" t="s">
        <v>207</v>
      </c>
    </row>
    <row r="148" spans="36:39" ht="16.5" customHeight="1" x14ac:dyDescent="0.25">
      <c r="AJ148" t="s">
        <v>3</v>
      </c>
      <c r="AK148" t="s">
        <v>3</v>
      </c>
      <c r="AL148" t="s">
        <v>3</v>
      </c>
      <c r="AM148" t="s">
        <v>87</v>
      </c>
    </row>
    <row r="149" spans="36:39" ht="16.5" customHeight="1" x14ac:dyDescent="0.25">
      <c r="AJ149" t="s">
        <v>3</v>
      </c>
      <c r="AK149" t="s">
        <v>3</v>
      </c>
      <c r="AL149" t="s">
        <v>3</v>
      </c>
      <c r="AM149" t="s">
        <v>78</v>
      </c>
    </row>
    <row r="150" spans="36:39" ht="16.5" customHeight="1" x14ac:dyDescent="0.25">
      <c r="AJ150" t="s">
        <v>3</v>
      </c>
      <c r="AK150" t="s">
        <v>3</v>
      </c>
      <c r="AL150" t="s">
        <v>3</v>
      </c>
      <c r="AM150" t="s">
        <v>93</v>
      </c>
    </row>
    <row r="151" spans="36:39" ht="16.5" customHeight="1" x14ac:dyDescent="0.25">
      <c r="AJ151" t="s">
        <v>3</v>
      </c>
      <c r="AK151" t="s">
        <v>3</v>
      </c>
      <c r="AL151" t="s">
        <v>3</v>
      </c>
      <c r="AM151" t="s">
        <v>78</v>
      </c>
    </row>
    <row r="152" spans="36:39" ht="16.5" customHeight="1" x14ac:dyDescent="0.25">
      <c r="AJ152" t="s">
        <v>3</v>
      </c>
      <c r="AK152" t="s">
        <v>3</v>
      </c>
      <c r="AL152" t="s">
        <v>3</v>
      </c>
      <c r="AM152" t="s">
        <v>78</v>
      </c>
    </row>
    <row r="153" spans="36:39" ht="16.5" customHeight="1" x14ac:dyDescent="0.25">
      <c r="AJ153" t="s">
        <v>3</v>
      </c>
      <c r="AK153" t="s">
        <v>3</v>
      </c>
      <c r="AL153" t="s">
        <v>3</v>
      </c>
      <c r="AM153" t="s">
        <v>93</v>
      </c>
    </row>
    <row r="154" spans="36:39" ht="16.5" customHeight="1" x14ac:dyDescent="0.25">
      <c r="AJ154" t="s">
        <v>3</v>
      </c>
      <c r="AK154" t="s">
        <v>3</v>
      </c>
      <c r="AL154" t="s">
        <v>3</v>
      </c>
      <c r="AM154" t="s">
        <v>78</v>
      </c>
    </row>
    <row r="155" spans="36:39" ht="16.5" customHeight="1" x14ac:dyDescent="0.25">
      <c r="AJ155" t="s">
        <v>3</v>
      </c>
      <c r="AK155" t="s">
        <v>3</v>
      </c>
      <c r="AL155" t="s">
        <v>3</v>
      </c>
      <c r="AM155" t="s">
        <v>78</v>
      </c>
    </row>
    <row r="156" spans="36:39" ht="16.5" customHeight="1" x14ac:dyDescent="0.25">
      <c r="AJ156" t="s">
        <v>3</v>
      </c>
      <c r="AK156" t="s">
        <v>3</v>
      </c>
      <c r="AL156" t="s">
        <v>3</v>
      </c>
      <c r="AM156" t="s">
        <v>78</v>
      </c>
    </row>
    <row r="157" spans="36:39" ht="16.5" customHeight="1" x14ac:dyDescent="0.25">
      <c r="AJ157" t="s">
        <v>3</v>
      </c>
      <c r="AK157" t="s">
        <v>3</v>
      </c>
      <c r="AL157" t="s">
        <v>3</v>
      </c>
      <c r="AM157" t="s">
        <v>78</v>
      </c>
    </row>
    <row r="158" spans="36:39" ht="16.5" customHeight="1" x14ac:dyDescent="0.25">
      <c r="AJ158" t="s">
        <v>3</v>
      </c>
      <c r="AK158" t="s">
        <v>3</v>
      </c>
      <c r="AL158" t="s">
        <v>1</v>
      </c>
      <c r="AM158" t="s">
        <v>78</v>
      </c>
    </row>
    <row r="159" spans="36:39" ht="16.5" customHeight="1" x14ac:dyDescent="0.25">
      <c r="AJ159" t="s">
        <v>3</v>
      </c>
      <c r="AK159" t="s">
        <v>3</v>
      </c>
      <c r="AL159" t="s">
        <v>3</v>
      </c>
      <c r="AM159" t="s">
        <v>113</v>
      </c>
    </row>
    <row r="160" spans="36:39" ht="16.5" customHeight="1" x14ac:dyDescent="0.25">
      <c r="AJ160" t="s">
        <v>3</v>
      </c>
      <c r="AK160" t="s">
        <v>1</v>
      </c>
      <c r="AL160" t="s">
        <v>3</v>
      </c>
      <c r="AM160" t="s">
        <v>78</v>
      </c>
    </row>
    <row r="161" spans="36:39" ht="16.5" customHeight="1" x14ac:dyDescent="0.25">
      <c r="AJ161" t="s">
        <v>3</v>
      </c>
      <c r="AK161" t="s">
        <v>3</v>
      </c>
      <c r="AL161" t="s">
        <v>3</v>
      </c>
      <c r="AM161" t="s">
        <v>208</v>
      </c>
    </row>
    <row r="162" spans="36:39" ht="16.5" customHeight="1" x14ac:dyDescent="0.25">
      <c r="AJ162" t="s">
        <v>3</v>
      </c>
      <c r="AK162" t="s">
        <v>3</v>
      </c>
      <c r="AL162" t="s">
        <v>1</v>
      </c>
      <c r="AM162" t="s">
        <v>209</v>
      </c>
    </row>
    <row r="163" spans="36:39" ht="16.5" customHeight="1" x14ac:dyDescent="0.25">
      <c r="AJ163" t="s">
        <v>3</v>
      </c>
      <c r="AK163" t="s">
        <v>3</v>
      </c>
      <c r="AL163" t="s">
        <v>3</v>
      </c>
      <c r="AM163" t="s">
        <v>78</v>
      </c>
    </row>
    <row r="164" spans="36:39" ht="16.5" customHeight="1" x14ac:dyDescent="0.25">
      <c r="AJ164" t="s">
        <v>3</v>
      </c>
      <c r="AK164" t="s">
        <v>3</v>
      </c>
      <c r="AL164" t="s">
        <v>3</v>
      </c>
      <c r="AM164" t="s">
        <v>113</v>
      </c>
    </row>
    <row r="165" spans="36:39" ht="16.5" customHeight="1" x14ac:dyDescent="0.25">
      <c r="AJ165" t="s">
        <v>3</v>
      </c>
      <c r="AK165" t="s">
        <v>1</v>
      </c>
      <c r="AL165" t="s">
        <v>3</v>
      </c>
      <c r="AM165" t="s">
        <v>78</v>
      </c>
    </row>
    <row r="166" spans="36:39" ht="16.5" customHeight="1" x14ac:dyDescent="0.25">
      <c r="AJ166" t="s">
        <v>3</v>
      </c>
      <c r="AK166" t="s">
        <v>3</v>
      </c>
      <c r="AL166" t="s">
        <v>3</v>
      </c>
      <c r="AM166" t="s">
        <v>208</v>
      </c>
    </row>
    <row r="167" spans="36:39" ht="16.5" customHeight="1" x14ac:dyDescent="0.25">
      <c r="AJ167" t="s">
        <v>3</v>
      </c>
      <c r="AK167" t="s">
        <v>3</v>
      </c>
      <c r="AL167" t="s">
        <v>1</v>
      </c>
      <c r="AM167" t="s">
        <v>210</v>
      </c>
    </row>
    <row r="168" spans="36:39" ht="16.5" customHeight="1" x14ac:dyDescent="0.25">
      <c r="AJ168" t="s">
        <v>3</v>
      </c>
      <c r="AK168" t="s">
        <v>3</v>
      </c>
      <c r="AL168" t="s">
        <v>3</v>
      </c>
      <c r="AM168" t="s">
        <v>78</v>
      </c>
    </row>
    <row r="169" spans="36:39" ht="16.5" customHeight="1" x14ac:dyDescent="0.25">
      <c r="AJ169" t="s">
        <v>3</v>
      </c>
      <c r="AK169" t="s">
        <v>3</v>
      </c>
      <c r="AL169" t="s">
        <v>3</v>
      </c>
      <c r="AM169" t="s">
        <v>211</v>
      </c>
    </row>
    <row r="170" spans="36:39" ht="16.5" customHeight="1" x14ac:dyDescent="0.25">
      <c r="AJ170" t="s">
        <v>3</v>
      </c>
      <c r="AK170" t="s">
        <v>3</v>
      </c>
      <c r="AL170" t="s">
        <v>3</v>
      </c>
      <c r="AM170" t="s">
        <v>212</v>
      </c>
    </row>
    <row r="171" spans="36:39" ht="16.5" customHeight="1" x14ac:dyDescent="0.25">
      <c r="AJ171" t="s">
        <v>3</v>
      </c>
      <c r="AK171" t="s">
        <v>3</v>
      </c>
      <c r="AL171" t="s">
        <v>3</v>
      </c>
      <c r="AM171" t="s">
        <v>213</v>
      </c>
    </row>
    <row r="172" spans="36:39" ht="16.5" customHeight="1" x14ac:dyDescent="0.25">
      <c r="AJ172" t="s">
        <v>3</v>
      </c>
      <c r="AK172" t="s">
        <v>3</v>
      </c>
      <c r="AL172" t="s">
        <v>3</v>
      </c>
      <c r="AM172" t="s">
        <v>78</v>
      </c>
    </row>
    <row r="173" spans="36:39" ht="16.5" customHeight="1" x14ac:dyDescent="0.25">
      <c r="AJ173" t="s">
        <v>3</v>
      </c>
      <c r="AK173" t="s">
        <v>3</v>
      </c>
      <c r="AL173" t="s">
        <v>3</v>
      </c>
      <c r="AM173" t="s">
        <v>93</v>
      </c>
    </row>
    <row r="174" spans="36:39" ht="16.5" customHeight="1" x14ac:dyDescent="0.25">
      <c r="AJ174" t="s">
        <v>3</v>
      </c>
      <c r="AK174" t="s">
        <v>3</v>
      </c>
      <c r="AL174" t="s">
        <v>3</v>
      </c>
      <c r="AM174" t="s">
        <v>78</v>
      </c>
    </row>
    <row r="175" spans="36:39" ht="16.5" customHeight="1" x14ac:dyDescent="0.25">
      <c r="AJ175" t="s">
        <v>3</v>
      </c>
      <c r="AK175" t="s">
        <v>3</v>
      </c>
      <c r="AL175" t="s">
        <v>1</v>
      </c>
      <c r="AM175" t="s">
        <v>78</v>
      </c>
    </row>
    <row r="176" spans="36:39" ht="16.5" customHeight="1" x14ac:dyDescent="0.25">
      <c r="AJ176" t="s">
        <v>3</v>
      </c>
      <c r="AK176" t="s">
        <v>1</v>
      </c>
      <c r="AL176" t="s">
        <v>3</v>
      </c>
      <c r="AM176" t="s">
        <v>78</v>
      </c>
    </row>
    <row r="177" spans="36:39" ht="16.5" customHeight="1" x14ac:dyDescent="0.25">
      <c r="AJ177" t="s">
        <v>3</v>
      </c>
      <c r="AK177" t="s">
        <v>3</v>
      </c>
      <c r="AL177" t="s">
        <v>3</v>
      </c>
      <c r="AM177" t="s">
        <v>78</v>
      </c>
    </row>
    <row r="178" spans="36:39" ht="16.5" customHeight="1" x14ac:dyDescent="0.25">
      <c r="AJ178" t="s">
        <v>3</v>
      </c>
      <c r="AK178" t="s">
        <v>3</v>
      </c>
      <c r="AL178" t="s">
        <v>3</v>
      </c>
      <c r="AM178" t="s">
        <v>211</v>
      </c>
    </row>
    <row r="179" spans="36:39" ht="16.5" customHeight="1" x14ac:dyDescent="0.25">
      <c r="AJ179" t="s">
        <v>3</v>
      </c>
      <c r="AK179" t="s">
        <v>3</v>
      </c>
      <c r="AL179" t="s">
        <v>3</v>
      </c>
      <c r="AM179" t="s">
        <v>212</v>
      </c>
    </row>
    <row r="180" spans="36:39" ht="16.5" customHeight="1" x14ac:dyDescent="0.25">
      <c r="AJ180" t="s">
        <v>3</v>
      </c>
      <c r="AK180" t="s">
        <v>3</v>
      </c>
      <c r="AL180" t="s">
        <v>3</v>
      </c>
      <c r="AM180" t="s">
        <v>213</v>
      </c>
    </row>
    <row r="181" spans="36:39" ht="16.5" customHeight="1" x14ac:dyDescent="0.25">
      <c r="AJ181" t="s">
        <v>3</v>
      </c>
      <c r="AK181" t="s">
        <v>3</v>
      </c>
      <c r="AL181" t="s">
        <v>3</v>
      </c>
      <c r="AM181" t="s">
        <v>78</v>
      </c>
    </row>
    <row r="182" spans="36:39" ht="16.5" customHeight="1" x14ac:dyDescent="0.25">
      <c r="AJ182" t="s">
        <v>3</v>
      </c>
      <c r="AK182" t="s">
        <v>3</v>
      </c>
      <c r="AL182" t="s">
        <v>3</v>
      </c>
      <c r="AM182" t="s">
        <v>93</v>
      </c>
    </row>
    <row r="183" spans="36:39" ht="16.5" customHeight="1" x14ac:dyDescent="0.25">
      <c r="AJ183" t="s">
        <v>3</v>
      </c>
      <c r="AK183" t="s">
        <v>3</v>
      </c>
      <c r="AL183" t="s">
        <v>3</v>
      </c>
      <c r="AM183" t="s">
        <v>78</v>
      </c>
    </row>
    <row r="184" spans="36:39" ht="16.5" customHeight="1" x14ac:dyDescent="0.25">
      <c r="AJ184" t="s">
        <v>3</v>
      </c>
      <c r="AK184" t="s">
        <v>3</v>
      </c>
      <c r="AL184" t="s">
        <v>1</v>
      </c>
      <c r="AM184" t="s">
        <v>78</v>
      </c>
    </row>
    <row r="185" spans="36:39" ht="16.5" customHeight="1" x14ac:dyDescent="0.25">
      <c r="AJ185" t="s">
        <v>3</v>
      </c>
      <c r="AK185" t="s">
        <v>1</v>
      </c>
      <c r="AL185" t="s">
        <v>3</v>
      </c>
      <c r="AM185" t="s">
        <v>78</v>
      </c>
    </row>
    <row r="186" spans="36:39" ht="16.5" customHeight="1" x14ac:dyDescent="0.25">
      <c r="AJ186" t="s">
        <v>3</v>
      </c>
      <c r="AK186" t="s">
        <v>3</v>
      </c>
      <c r="AL186" t="s">
        <v>3</v>
      </c>
      <c r="AM186" t="s">
        <v>78</v>
      </c>
    </row>
    <row r="187" spans="36:39" ht="16.5" customHeight="1" x14ac:dyDescent="0.25">
      <c r="AJ187" t="s">
        <v>3</v>
      </c>
      <c r="AK187" t="s">
        <v>3</v>
      </c>
      <c r="AL187" t="s">
        <v>3</v>
      </c>
      <c r="AM187" t="s">
        <v>211</v>
      </c>
    </row>
    <row r="188" spans="36:39" ht="16.5" customHeight="1" x14ac:dyDescent="0.25">
      <c r="AJ188" t="s">
        <v>3</v>
      </c>
      <c r="AK188" t="s">
        <v>3</v>
      </c>
      <c r="AL188" t="s">
        <v>3</v>
      </c>
      <c r="AM188" t="s">
        <v>212</v>
      </c>
    </row>
    <row r="189" spans="36:39" ht="16.5" customHeight="1" x14ac:dyDescent="0.25">
      <c r="AJ189" t="s">
        <v>3</v>
      </c>
      <c r="AK189" t="s">
        <v>3</v>
      </c>
      <c r="AL189" t="s">
        <v>3</v>
      </c>
      <c r="AM189" t="s">
        <v>213</v>
      </c>
    </row>
    <row r="190" spans="36:39" ht="16.5" customHeight="1" x14ac:dyDescent="0.25">
      <c r="AJ190" t="s">
        <v>3</v>
      </c>
      <c r="AK190" t="s">
        <v>3</v>
      </c>
      <c r="AL190" t="s">
        <v>3</v>
      </c>
      <c r="AM190" t="s">
        <v>78</v>
      </c>
    </row>
    <row r="191" spans="36:39" ht="16.5" customHeight="1" x14ac:dyDescent="0.25">
      <c r="AJ191" t="s">
        <v>3</v>
      </c>
      <c r="AK191" t="s">
        <v>3</v>
      </c>
      <c r="AL191" t="s">
        <v>3</v>
      </c>
      <c r="AM191" t="s">
        <v>93</v>
      </c>
    </row>
    <row r="192" spans="36:39" ht="16.5" customHeight="1" x14ac:dyDescent="0.25">
      <c r="AJ192" t="s">
        <v>3</v>
      </c>
      <c r="AK192" t="s">
        <v>3</v>
      </c>
      <c r="AL192" t="s">
        <v>3</v>
      </c>
      <c r="AM192" t="s">
        <v>78</v>
      </c>
    </row>
    <row r="193" spans="36:39" ht="16.5" customHeight="1" x14ac:dyDescent="0.25">
      <c r="AJ193" t="s">
        <v>3</v>
      </c>
      <c r="AK193" t="s">
        <v>3</v>
      </c>
      <c r="AL193" t="s">
        <v>1</v>
      </c>
      <c r="AM193" t="s">
        <v>78</v>
      </c>
    </row>
    <row r="194" spans="36:39" ht="16.5" customHeight="1" x14ac:dyDescent="0.25">
      <c r="AJ194" t="s">
        <v>3</v>
      </c>
      <c r="AK194" t="s">
        <v>1</v>
      </c>
      <c r="AL194" t="s">
        <v>3</v>
      </c>
      <c r="AM194" t="s">
        <v>78</v>
      </c>
    </row>
    <row r="195" spans="36:39" ht="16.5" customHeight="1" x14ac:dyDescent="0.25">
      <c r="AJ195" t="s">
        <v>3</v>
      </c>
      <c r="AK195" t="s">
        <v>3</v>
      </c>
      <c r="AL195" t="s">
        <v>3</v>
      </c>
      <c r="AM195" t="s">
        <v>78</v>
      </c>
    </row>
    <row r="196" spans="36:39" ht="16.5" customHeight="1" x14ac:dyDescent="0.25">
      <c r="AJ196" t="s">
        <v>3</v>
      </c>
      <c r="AK196" t="s">
        <v>3</v>
      </c>
      <c r="AL196" t="s">
        <v>3</v>
      </c>
      <c r="AM196" t="s">
        <v>211</v>
      </c>
    </row>
    <row r="197" spans="36:39" ht="16.5" customHeight="1" x14ac:dyDescent="0.25">
      <c r="AJ197" t="s">
        <v>3</v>
      </c>
      <c r="AK197" t="s">
        <v>3</v>
      </c>
      <c r="AL197" t="s">
        <v>3</v>
      </c>
      <c r="AM197" t="s">
        <v>212</v>
      </c>
    </row>
    <row r="198" spans="36:39" ht="16.5" customHeight="1" x14ac:dyDescent="0.25">
      <c r="AJ198" t="s">
        <v>3</v>
      </c>
      <c r="AK198" t="s">
        <v>3</v>
      </c>
      <c r="AL198" t="s">
        <v>3</v>
      </c>
      <c r="AM198" t="s">
        <v>213</v>
      </c>
    </row>
    <row r="199" spans="36:39" ht="16.5" customHeight="1" x14ac:dyDescent="0.25">
      <c r="AJ199" t="s">
        <v>3</v>
      </c>
      <c r="AK199" t="s">
        <v>3</v>
      </c>
      <c r="AL199" t="s">
        <v>3</v>
      </c>
      <c r="AM199" t="s">
        <v>78</v>
      </c>
    </row>
    <row r="200" spans="36:39" ht="16.5" customHeight="1" x14ac:dyDescent="0.25">
      <c r="AJ200" t="s">
        <v>3</v>
      </c>
      <c r="AK200" t="s">
        <v>3</v>
      </c>
      <c r="AL200" t="s">
        <v>3</v>
      </c>
      <c r="AM200" t="s">
        <v>93</v>
      </c>
    </row>
    <row r="201" spans="36:39" ht="16.5" customHeight="1" x14ac:dyDescent="0.25">
      <c r="AJ201" t="s">
        <v>3</v>
      </c>
      <c r="AK201" t="s">
        <v>3</v>
      </c>
      <c r="AL201" t="s">
        <v>3</v>
      </c>
      <c r="AM201" t="s">
        <v>78</v>
      </c>
    </row>
    <row r="202" spans="36:39" ht="16.5" customHeight="1" x14ac:dyDescent="0.25">
      <c r="AJ202" t="s">
        <v>3</v>
      </c>
      <c r="AK202" t="s">
        <v>3</v>
      </c>
      <c r="AL202" t="s">
        <v>1</v>
      </c>
      <c r="AM202" t="s">
        <v>78</v>
      </c>
    </row>
    <row r="203" spans="36:39" ht="16.5" customHeight="1" x14ac:dyDescent="0.25">
      <c r="AJ203" t="s">
        <v>3</v>
      </c>
      <c r="AK203" t="s">
        <v>3</v>
      </c>
      <c r="AL203" t="s">
        <v>3</v>
      </c>
      <c r="AM203" t="s">
        <v>113</v>
      </c>
    </row>
    <row r="204" spans="36:39" ht="16.5" customHeight="1" x14ac:dyDescent="0.25">
      <c r="AJ204" t="s">
        <v>3</v>
      </c>
      <c r="AK204" t="s">
        <v>1</v>
      </c>
      <c r="AL204" t="s">
        <v>3</v>
      </c>
      <c r="AM204" t="s">
        <v>78</v>
      </c>
    </row>
    <row r="205" spans="36:39" ht="16.5" customHeight="1" x14ac:dyDescent="0.25">
      <c r="AJ205" t="s">
        <v>3</v>
      </c>
      <c r="AK205" t="s">
        <v>3</v>
      </c>
      <c r="AL205" t="s">
        <v>3</v>
      </c>
      <c r="AM205" t="s">
        <v>208</v>
      </c>
    </row>
    <row r="206" spans="36:39" ht="16.5" customHeight="1" x14ac:dyDescent="0.25">
      <c r="AJ206" t="s">
        <v>3</v>
      </c>
      <c r="AK206" t="s">
        <v>3</v>
      </c>
      <c r="AL206" t="s">
        <v>1</v>
      </c>
      <c r="AM206" t="s">
        <v>114</v>
      </c>
    </row>
    <row r="207" spans="36:39" ht="16.5" customHeight="1" x14ac:dyDescent="0.25">
      <c r="AJ207" t="s">
        <v>3</v>
      </c>
      <c r="AK207" t="s">
        <v>3</v>
      </c>
      <c r="AL207" t="s">
        <v>3</v>
      </c>
      <c r="AM207" t="s">
        <v>78</v>
      </c>
    </row>
    <row r="208" spans="36:39" ht="16.5" customHeight="1" x14ac:dyDescent="0.25">
      <c r="AJ208" t="s">
        <v>3</v>
      </c>
      <c r="AK208" t="s">
        <v>3</v>
      </c>
      <c r="AL208" t="s">
        <v>3</v>
      </c>
      <c r="AM208" t="s">
        <v>78</v>
      </c>
    </row>
    <row r="209" spans="36:39" ht="16.5" customHeight="1" x14ac:dyDescent="0.25">
      <c r="AJ209" t="s">
        <v>3</v>
      </c>
      <c r="AK209" t="s">
        <v>1</v>
      </c>
      <c r="AL209" t="s">
        <v>3</v>
      </c>
      <c r="AM209" t="s">
        <v>78</v>
      </c>
    </row>
    <row r="210" spans="36:39" ht="16.5" customHeight="1" x14ac:dyDescent="0.25">
      <c r="AJ210" t="s">
        <v>3</v>
      </c>
      <c r="AK210" t="s">
        <v>3</v>
      </c>
      <c r="AL210" t="s">
        <v>3</v>
      </c>
      <c r="AM210" t="s">
        <v>78</v>
      </c>
    </row>
    <row r="211" spans="36:39" ht="16.5" customHeight="1" x14ac:dyDescent="0.25">
      <c r="AJ211" t="s">
        <v>3</v>
      </c>
      <c r="AK211" t="s">
        <v>3</v>
      </c>
      <c r="AL211" t="s">
        <v>3</v>
      </c>
      <c r="AM211" t="s">
        <v>78</v>
      </c>
    </row>
    <row r="212" spans="36:39" ht="16.5" customHeight="1" x14ac:dyDescent="0.25">
      <c r="AJ212" t="s">
        <v>3</v>
      </c>
      <c r="AK212" t="s">
        <v>1</v>
      </c>
      <c r="AL212" t="s">
        <v>3</v>
      </c>
      <c r="AM212" t="s">
        <v>78</v>
      </c>
    </row>
    <row r="213" spans="36:39" ht="16.5" customHeight="1" x14ac:dyDescent="0.25">
      <c r="AJ213" t="s">
        <v>3</v>
      </c>
      <c r="AK213" t="s">
        <v>3</v>
      </c>
      <c r="AL213" t="s">
        <v>3</v>
      </c>
      <c r="AM213" t="s">
        <v>93</v>
      </c>
    </row>
    <row r="214" spans="36:39" ht="16.5" customHeight="1" x14ac:dyDescent="0.25">
      <c r="AJ214" t="s">
        <v>3</v>
      </c>
      <c r="AK214" t="s">
        <v>3</v>
      </c>
      <c r="AL214" t="s">
        <v>3</v>
      </c>
      <c r="AM214" t="s">
        <v>78</v>
      </c>
    </row>
    <row r="215" spans="36:39" ht="16.5" customHeight="1" x14ac:dyDescent="0.25">
      <c r="AJ215" t="s">
        <v>3</v>
      </c>
      <c r="AK215" t="s">
        <v>3</v>
      </c>
      <c r="AL215" t="s">
        <v>3</v>
      </c>
      <c r="AM215" t="s">
        <v>115</v>
      </c>
    </row>
    <row r="216" spans="36:39" ht="16.5" customHeight="1" x14ac:dyDescent="0.25">
      <c r="AJ216" t="s">
        <v>3</v>
      </c>
      <c r="AK216" t="s">
        <v>3</v>
      </c>
      <c r="AL216" t="s">
        <v>3</v>
      </c>
      <c r="AM216" t="s">
        <v>116</v>
      </c>
    </row>
    <row r="217" spans="36:39" ht="16.5" customHeight="1" x14ac:dyDescent="0.25">
      <c r="AJ217" t="s">
        <v>3</v>
      </c>
      <c r="AK217" t="s">
        <v>3</v>
      </c>
      <c r="AL217" t="s">
        <v>3</v>
      </c>
      <c r="AM217" t="s">
        <v>117</v>
      </c>
    </row>
    <row r="218" spans="36:39" ht="16.5" customHeight="1" x14ac:dyDescent="0.25">
      <c r="AJ218" t="s">
        <v>3</v>
      </c>
      <c r="AK218" t="s">
        <v>3</v>
      </c>
      <c r="AL218" t="s">
        <v>3</v>
      </c>
      <c r="AM218" t="s">
        <v>118</v>
      </c>
    </row>
    <row r="219" spans="36:39" ht="16.5" customHeight="1" x14ac:dyDescent="0.25">
      <c r="AJ219" t="s">
        <v>3</v>
      </c>
      <c r="AK219" t="s">
        <v>3</v>
      </c>
      <c r="AL219" t="s">
        <v>3</v>
      </c>
      <c r="AM219" t="s">
        <v>99</v>
      </c>
    </row>
    <row r="220" spans="36:39" ht="16.5" customHeight="1" x14ac:dyDescent="0.25">
      <c r="AJ220" t="s">
        <v>3</v>
      </c>
      <c r="AK220" t="s">
        <v>3</v>
      </c>
      <c r="AL220" t="s">
        <v>3</v>
      </c>
      <c r="AM220" t="s">
        <v>78</v>
      </c>
    </row>
    <row r="221" spans="36:39" ht="16.5" customHeight="1" x14ac:dyDescent="0.25">
      <c r="AJ221" t="s">
        <v>3</v>
      </c>
      <c r="AK221" t="s">
        <v>1</v>
      </c>
      <c r="AL221" t="s">
        <v>3</v>
      </c>
      <c r="AM221" t="s">
        <v>78</v>
      </c>
    </row>
    <row r="222" spans="36:39" ht="16.5" customHeight="1" x14ac:dyDescent="0.25">
      <c r="AJ222" t="s">
        <v>3</v>
      </c>
      <c r="AK222" t="s">
        <v>3</v>
      </c>
      <c r="AL222" t="s">
        <v>3</v>
      </c>
      <c r="AM222" t="s">
        <v>93</v>
      </c>
    </row>
    <row r="223" spans="36:39" ht="16.5" customHeight="1" x14ac:dyDescent="0.25">
      <c r="AJ223" t="s">
        <v>3</v>
      </c>
      <c r="AK223" t="s">
        <v>3</v>
      </c>
      <c r="AL223" t="s">
        <v>3</v>
      </c>
      <c r="AM223" t="s">
        <v>78</v>
      </c>
    </row>
    <row r="224" spans="36:39" ht="16.5" customHeight="1" x14ac:dyDescent="0.25">
      <c r="AJ224" t="s">
        <v>3</v>
      </c>
      <c r="AK224" t="s">
        <v>3</v>
      </c>
      <c r="AL224" t="s">
        <v>3</v>
      </c>
      <c r="AM224" t="s">
        <v>119</v>
      </c>
    </row>
    <row r="225" spans="36:39" ht="16.5" customHeight="1" x14ac:dyDescent="0.25">
      <c r="AJ225" t="s">
        <v>3</v>
      </c>
      <c r="AK225" t="s">
        <v>3</v>
      </c>
      <c r="AL225" t="s">
        <v>3</v>
      </c>
      <c r="AM225" t="s">
        <v>78</v>
      </c>
    </row>
    <row r="226" spans="36:39" ht="16.5" customHeight="1" x14ac:dyDescent="0.25">
      <c r="AJ226" t="s">
        <v>3</v>
      </c>
      <c r="AK226" t="s">
        <v>3</v>
      </c>
      <c r="AL226" t="s">
        <v>3</v>
      </c>
      <c r="AM226" t="s">
        <v>78</v>
      </c>
    </row>
    <row r="227" spans="36:39" ht="16.5" customHeight="1" x14ac:dyDescent="0.25">
      <c r="AJ227" t="s">
        <v>3</v>
      </c>
      <c r="AK227" t="s">
        <v>3</v>
      </c>
      <c r="AL227" t="s">
        <v>3</v>
      </c>
      <c r="AM227" t="s">
        <v>78</v>
      </c>
    </row>
    <row r="228" spans="36:39" ht="16.5" customHeight="1" x14ac:dyDescent="0.25">
      <c r="AJ228" t="s">
        <v>3</v>
      </c>
      <c r="AK228" t="s">
        <v>3</v>
      </c>
      <c r="AL228" t="s">
        <v>3</v>
      </c>
      <c r="AM228" t="s">
        <v>214</v>
      </c>
    </row>
    <row r="229" spans="36:39" ht="16.5" customHeight="1" x14ac:dyDescent="0.25">
      <c r="AJ229" t="s">
        <v>3</v>
      </c>
      <c r="AK229" t="s">
        <v>3</v>
      </c>
      <c r="AL229" t="s">
        <v>3</v>
      </c>
      <c r="AM229" t="s">
        <v>78</v>
      </c>
    </row>
    <row r="230" spans="36:39" ht="16.5" customHeight="1" x14ac:dyDescent="0.25">
      <c r="AJ230" t="s">
        <v>3</v>
      </c>
      <c r="AK230" t="s">
        <v>3</v>
      </c>
      <c r="AL230" t="s">
        <v>3</v>
      </c>
      <c r="AM230" t="s">
        <v>120</v>
      </c>
    </row>
    <row r="231" spans="36:39" ht="16.5" customHeight="1" x14ac:dyDescent="0.25">
      <c r="AJ231" t="s">
        <v>3</v>
      </c>
      <c r="AK231" t="s">
        <v>3</v>
      </c>
      <c r="AL231" t="s">
        <v>3</v>
      </c>
      <c r="AM231" t="s">
        <v>121</v>
      </c>
    </row>
    <row r="232" spans="36:39" ht="16.5" customHeight="1" x14ac:dyDescent="0.25">
      <c r="AJ232" t="s">
        <v>3</v>
      </c>
      <c r="AK232" t="s">
        <v>3</v>
      </c>
      <c r="AL232" t="s">
        <v>3</v>
      </c>
      <c r="AM232" t="s">
        <v>122</v>
      </c>
    </row>
    <row r="233" spans="36:39" ht="16.5" customHeight="1" x14ac:dyDescent="0.25">
      <c r="AJ233" t="s">
        <v>3</v>
      </c>
      <c r="AK233" t="s">
        <v>3</v>
      </c>
      <c r="AL233" t="s">
        <v>3</v>
      </c>
      <c r="AM233" t="s">
        <v>123</v>
      </c>
    </row>
    <row r="234" spans="36:39" ht="16.5" customHeight="1" x14ac:dyDescent="0.25">
      <c r="AJ234" t="s">
        <v>3</v>
      </c>
      <c r="AK234" t="s">
        <v>3</v>
      </c>
      <c r="AL234" t="s">
        <v>3</v>
      </c>
      <c r="AM234" t="s">
        <v>78</v>
      </c>
    </row>
    <row r="235" spans="36:39" ht="16.5" customHeight="1" x14ac:dyDescent="0.25">
      <c r="AJ235" t="s">
        <v>3</v>
      </c>
      <c r="AK235" t="s">
        <v>3</v>
      </c>
      <c r="AL235" t="s">
        <v>1</v>
      </c>
      <c r="AM235" t="s">
        <v>78</v>
      </c>
    </row>
    <row r="236" spans="36:39" ht="16.5" customHeight="1" x14ac:dyDescent="0.25">
      <c r="AJ236" t="s">
        <v>3</v>
      </c>
      <c r="AK236" t="s">
        <v>3</v>
      </c>
      <c r="AL236" t="s">
        <v>3</v>
      </c>
      <c r="AM236" t="s">
        <v>113</v>
      </c>
    </row>
    <row r="237" spans="36:39" ht="16.5" customHeight="1" x14ac:dyDescent="0.25">
      <c r="AJ237" t="s">
        <v>3</v>
      </c>
      <c r="AK237" t="s">
        <v>1</v>
      </c>
      <c r="AL237" t="s">
        <v>3</v>
      </c>
      <c r="AM237" t="s">
        <v>78</v>
      </c>
    </row>
    <row r="238" spans="36:39" ht="16.5" customHeight="1" x14ac:dyDescent="0.25">
      <c r="AJ238" t="s">
        <v>3</v>
      </c>
      <c r="AK238" t="s">
        <v>1</v>
      </c>
      <c r="AL238" t="s">
        <v>3</v>
      </c>
      <c r="AM238" t="s">
        <v>78</v>
      </c>
    </row>
    <row r="239" spans="36:39" ht="16.5" customHeight="1" x14ac:dyDescent="0.25">
      <c r="AJ239" t="s">
        <v>3</v>
      </c>
      <c r="AK239" t="s">
        <v>1</v>
      </c>
      <c r="AL239" t="s">
        <v>3</v>
      </c>
      <c r="AM239" t="s">
        <v>78</v>
      </c>
    </row>
    <row r="240" spans="36:39" ht="16.5" customHeight="1" x14ac:dyDescent="0.25">
      <c r="AJ240" t="s">
        <v>3</v>
      </c>
      <c r="AK240" t="s">
        <v>3</v>
      </c>
      <c r="AL240" t="s">
        <v>3</v>
      </c>
      <c r="AM240" t="s">
        <v>78</v>
      </c>
    </row>
    <row r="241" spans="36:39" ht="16.5" customHeight="1" x14ac:dyDescent="0.25">
      <c r="AJ241" t="s">
        <v>3</v>
      </c>
      <c r="AK241" t="s">
        <v>3</v>
      </c>
      <c r="AL241" t="s">
        <v>3</v>
      </c>
      <c r="AM241" t="s">
        <v>86</v>
      </c>
    </row>
    <row r="242" spans="36:39" ht="16.5" customHeight="1" x14ac:dyDescent="0.25">
      <c r="AJ242" t="s">
        <v>3</v>
      </c>
      <c r="AK242" t="s">
        <v>3</v>
      </c>
      <c r="AL242" t="s">
        <v>3</v>
      </c>
      <c r="AM242" t="s">
        <v>124</v>
      </c>
    </row>
    <row r="243" spans="36:39" ht="16.5" customHeight="1" x14ac:dyDescent="0.25">
      <c r="AJ243" t="s">
        <v>3</v>
      </c>
      <c r="AK243" t="s">
        <v>3</v>
      </c>
      <c r="AL243" t="s">
        <v>3</v>
      </c>
      <c r="AM243" t="s">
        <v>125</v>
      </c>
    </row>
    <row r="244" spans="36:39" ht="16.5" customHeight="1" x14ac:dyDescent="0.25">
      <c r="AJ244" t="s">
        <v>3</v>
      </c>
      <c r="AK244" t="s">
        <v>3</v>
      </c>
      <c r="AL244" t="s">
        <v>3</v>
      </c>
      <c r="AM244" t="s">
        <v>78</v>
      </c>
    </row>
    <row r="245" spans="36:39" ht="16.5" customHeight="1" x14ac:dyDescent="0.25">
      <c r="AJ245" t="s">
        <v>3</v>
      </c>
      <c r="AK245" t="s">
        <v>3</v>
      </c>
      <c r="AL245" t="s">
        <v>1</v>
      </c>
      <c r="AM245" t="s">
        <v>147</v>
      </c>
    </row>
    <row r="246" spans="36:39" ht="16.5" customHeight="1" x14ac:dyDescent="0.25">
      <c r="AJ246" t="s">
        <v>3</v>
      </c>
      <c r="AK246" t="s">
        <v>3</v>
      </c>
      <c r="AL246" t="s">
        <v>1</v>
      </c>
      <c r="AM246" t="s">
        <v>78</v>
      </c>
    </row>
    <row r="247" spans="36:39" ht="16.5" customHeight="1" x14ac:dyDescent="0.25">
      <c r="AJ247" t="s">
        <v>3</v>
      </c>
      <c r="AK247" t="s">
        <v>3</v>
      </c>
      <c r="AL247" t="s">
        <v>3</v>
      </c>
      <c r="AM247" t="s">
        <v>148</v>
      </c>
    </row>
    <row r="248" spans="36:39" ht="16.5" customHeight="1" x14ac:dyDescent="0.25">
      <c r="AJ248" t="s">
        <v>3</v>
      </c>
      <c r="AK248" t="s">
        <v>3</v>
      </c>
      <c r="AL248" t="s">
        <v>1</v>
      </c>
      <c r="AM248" t="s">
        <v>215</v>
      </c>
    </row>
    <row r="249" spans="36:39" ht="16.5" customHeight="1" x14ac:dyDescent="0.25">
      <c r="AJ249" t="s">
        <v>3</v>
      </c>
      <c r="AK249" t="s">
        <v>3</v>
      </c>
      <c r="AL249" t="s">
        <v>3</v>
      </c>
      <c r="AM249" t="s">
        <v>208</v>
      </c>
    </row>
    <row r="250" spans="36:39" ht="16.5" customHeight="1" x14ac:dyDescent="0.25">
      <c r="AJ250" t="s">
        <v>3</v>
      </c>
      <c r="AK250" t="s">
        <v>3</v>
      </c>
      <c r="AL250" t="s">
        <v>1</v>
      </c>
      <c r="AM250" t="s">
        <v>114</v>
      </c>
    </row>
    <row r="251" spans="36:39" ht="16.5" customHeight="1" x14ac:dyDescent="0.25">
      <c r="AJ251" t="s">
        <v>3</v>
      </c>
      <c r="AK251" t="s">
        <v>3</v>
      </c>
      <c r="AL251" t="s">
        <v>3</v>
      </c>
      <c r="AM251" t="s">
        <v>78</v>
      </c>
    </row>
    <row r="252" spans="36:39" ht="16.5" customHeight="1" x14ac:dyDescent="0.25">
      <c r="AJ252" t="s">
        <v>3</v>
      </c>
      <c r="AK252" t="s">
        <v>3</v>
      </c>
      <c r="AL252" t="s">
        <v>3</v>
      </c>
      <c r="AM252" t="s">
        <v>78</v>
      </c>
    </row>
    <row r="253" spans="36:39" ht="16.5" customHeight="1" x14ac:dyDescent="0.25">
      <c r="AJ253" t="s">
        <v>3</v>
      </c>
      <c r="AK253" t="s">
        <v>3</v>
      </c>
      <c r="AL253" t="s">
        <v>3</v>
      </c>
      <c r="AM253" t="s">
        <v>119</v>
      </c>
    </row>
    <row r="254" spans="36:39" ht="16.5" customHeight="1" x14ac:dyDescent="0.25">
      <c r="AJ254" t="s">
        <v>1</v>
      </c>
      <c r="AK254" t="s">
        <v>3</v>
      </c>
      <c r="AL254" t="s">
        <v>3</v>
      </c>
      <c r="AM254" t="s">
        <v>78</v>
      </c>
    </row>
    <row r="255" spans="36:39" ht="16.5" customHeight="1" x14ac:dyDescent="0.25">
      <c r="AJ255" t="s">
        <v>3</v>
      </c>
      <c r="AK255" t="s">
        <v>3</v>
      </c>
      <c r="AL255" t="s">
        <v>3</v>
      </c>
      <c r="AM255" t="s">
        <v>126</v>
      </c>
    </row>
    <row r="256" spans="36:39" ht="16.5" customHeight="1" x14ac:dyDescent="0.25">
      <c r="AJ256" t="s">
        <v>3</v>
      </c>
      <c r="AK256" t="s">
        <v>3</v>
      </c>
      <c r="AL256" t="s">
        <v>3</v>
      </c>
      <c r="AM256" t="s">
        <v>127</v>
      </c>
    </row>
    <row r="257" spans="36:39" ht="16.5" customHeight="1" x14ac:dyDescent="0.25">
      <c r="AJ257" t="s">
        <v>3</v>
      </c>
      <c r="AK257" t="s">
        <v>3</v>
      </c>
      <c r="AL257" t="s">
        <v>3</v>
      </c>
      <c r="AM257" t="s">
        <v>78</v>
      </c>
    </row>
    <row r="258" spans="36:39" ht="16.5" customHeight="1" x14ac:dyDescent="0.25">
      <c r="AJ258" t="s">
        <v>3</v>
      </c>
      <c r="AK258" t="s">
        <v>3</v>
      </c>
      <c r="AL258" t="s">
        <v>1</v>
      </c>
      <c r="AM258" t="s">
        <v>78</v>
      </c>
    </row>
    <row r="259" spans="36:39" ht="16.5" customHeight="1" x14ac:dyDescent="0.25">
      <c r="AJ259" t="s">
        <v>3</v>
      </c>
      <c r="AK259" t="s">
        <v>3</v>
      </c>
      <c r="AL259" t="s">
        <v>3</v>
      </c>
      <c r="AM259" t="s">
        <v>113</v>
      </c>
    </row>
    <row r="260" spans="36:39" ht="16.5" customHeight="1" x14ac:dyDescent="0.25">
      <c r="AJ260" t="s">
        <v>3</v>
      </c>
      <c r="AK260" t="s">
        <v>1</v>
      </c>
      <c r="AL260" t="s">
        <v>3</v>
      </c>
      <c r="AM260" t="s">
        <v>78</v>
      </c>
    </row>
    <row r="261" spans="36:39" ht="16.5" customHeight="1" x14ac:dyDescent="0.25">
      <c r="AJ261" t="s">
        <v>3</v>
      </c>
      <c r="AK261" t="s">
        <v>3</v>
      </c>
      <c r="AL261" t="s">
        <v>3</v>
      </c>
      <c r="AM261" t="s">
        <v>208</v>
      </c>
    </row>
    <row r="262" spans="36:39" ht="16.5" customHeight="1" x14ac:dyDescent="0.25">
      <c r="AJ262" t="s">
        <v>3</v>
      </c>
      <c r="AK262" t="s">
        <v>3</v>
      </c>
      <c r="AL262" t="s">
        <v>1</v>
      </c>
      <c r="AM262" t="s">
        <v>128</v>
      </c>
    </row>
    <row r="263" spans="36:39" ht="16.5" customHeight="1" x14ac:dyDescent="0.25">
      <c r="AJ263" t="s">
        <v>3</v>
      </c>
      <c r="AK263" t="s">
        <v>3</v>
      </c>
      <c r="AL263" t="s">
        <v>3</v>
      </c>
      <c r="AM263" t="s">
        <v>78</v>
      </c>
    </row>
    <row r="264" spans="36:39" ht="16.5" customHeight="1" x14ac:dyDescent="0.25">
      <c r="AJ264" t="s">
        <v>3</v>
      </c>
      <c r="AK264" t="s">
        <v>3</v>
      </c>
      <c r="AL264" t="s">
        <v>3</v>
      </c>
      <c r="AM264" t="s">
        <v>78</v>
      </c>
    </row>
    <row r="265" spans="36:39" ht="16.5" customHeight="1" x14ac:dyDescent="0.25">
      <c r="AJ265" t="s">
        <v>3</v>
      </c>
      <c r="AK265" t="s">
        <v>1</v>
      </c>
      <c r="AL265" t="s">
        <v>1</v>
      </c>
      <c r="AM265" t="s">
        <v>78</v>
      </c>
    </row>
    <row r="266" spans="36:39" ht="16.5" customHeight="1" x14ac:dyDescent="0.25">
      <c r="AJ266" t="s">
        <v>3</v>
      </c>
      <c r="AK266" t="s">
        <v>3</v>
      </c>
      <c r="AL266" t="s">
        <v>3</v>
      </c>
      <c r="AM266" t="s">
        <v>93</v>
      </c>
    </row>
    <row r="267" spans="36:39" ht="16.5" customHeight="1" x14ac:dyDescent="0.25">
      <c r="AJ267" t="s">
        <v>3</v>
      </c>
      <c r="AK267" t="s">
        <v>3</v>
      </c>
      <c r="AL267" t="s">
        <v>3</v>
      </c>
      <c r="AM267" t="s">
        <v>129</v>
      </c>
    </row>
    <row r="268" spans="36:39" ht="16.5" customHeight="1" x14ac:dyDescent="0.25">
      <c r="AJ268" t="s">
        <v>3</v>
      </c>
      <c r="AK268" t="s">
        <v>1</v>
      </c>
      <c r="AL268" t="s">
        <v>3</v>
      </c>
      <c r="AM268" t="s">
        <v>78</v>
      </c>
    </row>
    <row r="269" spans="36:39" ht="16.5" customHeight="1" x14ac:dyDescent="0.25">
      <c r="AJ269" t="s">
        <v>3</v>
      </c>
      <c r="AK269" t="s">
        <v>1</v>
      </c>
      <c r="AL269" t="s">
        <v>3</v>
      </c>
      <c r="AM269" t="s">
        <v>78</v>
      </c>
    </row>
    <row r="270" spans="36:39" ht="16.5" customHeight="1" x14ac:dyDescent="0.25">
      <c r="AJ270" t="s">
        <v>3</v>
      </c>
      <c r="AK270" t="s">
        <v>1</v>
      </c>
      <c r="AL270" t="s">
        <v>3</v>
      </c>
      <c r="AM270" t="s">
        <v>78</v>
      </c>
    </row>
    <row r="271" spans="36:39" ht="16.5" customHeight="1" x14ac:dyDescent="0.25">
      <c r="AJ271" t="s">
        <v>3</v>
      </c>
      <c r="AK271" t="s">
        <v>3</v>
      </c>
      <c r="AL271" t="s">
        <v>3</v>
      </c>
      <c r="AM271" t="s">
        <v>78</v>
      </c>
    </row>
    <row r="272" spans="36:39" ht="16.5" customHeight="1" x14ac:dyDescent="0.25">
      <c r="AJ272" t="s">
        <v>3</v>
      </c>
      <c r="AK272" t="s">
        <v>3</v>
      </c>
      <c r="AL272" t="s">
        <v>3</v>
      </c>
      <c r="AM272" t="s">
        <v>130</v>
      </c>
    </row>
    <row r="273" spans="36:39" ht="16.5" customHeight="1" x14ac:dyDescent="0.25">
      <c r="AJ273" t="s">
        <v>3</v>
      </c>
      <c r="AK273" t="s">
        <v>3</v>
      </c>
      <c r="AL273" t="s">
        <v>3</v>
      </c>
      <c r="AM273" t="s">
        <v>161</v>
      </c>
    </row>
    <row r="274" spans="36:39" ht="16.5" customHeight="1" x14ac:dyDescent="0.25">
      <c r="AJ274" t="s">
        <v>3</v>
      </c>
      <c r="AK274" t="s">
        <v>3</v>
      </c>
      <c r="AL274" t="s">
        <v>3</v>
      </c>
      <c r="AM274" t="s">
        <v>162</v>
      </c>
    </row>
    <row r="275" spans="36:39" ht="16.5" customHeight="1" x14ac:dyDescent="0.25">
      <c r="AJ275" t="s">
        <v>3</v>
      </c>
      <c r="AK275" t="s">
        <v>3</v>
      </c>
      <c r="AL275" t="s">
        <v>3</v>
      </c>
      <c r="AM275" t="s">
        <v>78</v>
      </c>
    </row>
    <row r="276" spans="36:39" ht="16.5" customHeight="1" x14ac:dyDescent="0.25">
      <c r="AJ276" t="s">
        <v>3</v>
      </c>
      <c r="AK276" t="s">
        <v>1</v>
      </c>
      <c r="AL276" t="s">
        <v>1</v>
      </c>
      <c r="AM276" t="s">
        <v>216</v>
      </c>
    </row>
    <row r="277" spans="36:39" ht="16.5" customHeight="1" x14ac:dyDescent="0.25">
      <c r="AJ277" t="s">
        <v>3</v>
      </c>
      <c r="AK277" t="s">
        <v>3</v>
      </c>
      <c r="AL277" t="s">
        <v>3</v>
      </c>
      <c r="AM277" t="s">
        <v>217</v>
      </c>
    </row>
    <row r="278" spans="36:39" ht="16.5" customHeight="1" x14ac:dyDescent="0.25">
      <c r="AJ278" t="s">
        <v>3</v>
      </c>
      <c r="AK278" t="s">
        <v>3</v>
      </c>
      <c r="AL278" t="s">
        <v>3</v>
      </c>
      <c r="AM278" t="s">
        <v>78</v>
      </c>
    </row>
    <row r="279" spans="36:39" ht="16.5" customHeight="1" x14ac:dyDescent="0.25">
      <c r="AJ279" t="s">
        <v>3</v>
      </c>
      <c r="AK279" t="s">
        <v>3</v>
      </c>
      <c r="AL279" t="s">
        <v>3</v>
      </c>
      <c r="AM279" t="s">
        <v>78</v>
      </c>
    </row>
    <row r="280" spans="36:39" ht="16.5" customHeight="1" x14ac:dyDescent="0.25">
      <c r="AJ280" t="s">
        <v>3</v>
      </c>
      <c r="AK280" t="s">
        <v>3</v>
      </c>
      <c r="AL280" t="s">
        <v>3</v>
      </c>
      <c r="AM280" t="s">
        <v>78</v>
      </c>
    </row>
    <row r="281" spans="36:39" ht="16.5" customHeight="1" x14ac:dyDescent="0.25">
      <c r="AJ281" t="s">
        <v>1</v>
      </c>
      <c r="AK281" t="s">
        <v>3</v>
      </c>
      <c r="AL281" t="s">
        <v>3</v>
      </c>
    </row>
    <row r="282" spans="36:39" ht="16.5" customHeight="1" x14ac:dyDescent="0.25">
      <c r="AJ282" t="s">
        <v>3</v>
      </c>
      <c r="AK282" t="s">
        <v>3</v>
      </c>
      <c r="AL282" t="s">
        <v>3</v>
      </c>
      <c r="AM282" t="s">
        <v>78</v>
      </c>
    </row>
    <row r="283" spans="36:39" ht="16.5" customHeight="1" x14ac:dyDescent="0.25">
      <c r="AJ283" t="s">
        <v>3</v>
      </c>
      <c r="AK283" t="s">
        <v>3</v>
      </c>
      <c r="AL283" t="s">
        <v>3</v>
      </c>
      <c r="AM283" t="s">
        <v>78</v>
      </c>
    </row>
    <row r="284" spans="36:39" ht="16.5" customHeight="1" x14ac:dyDescent="0.25">
      <c r="AJ284" t="s">
        <v>3</v>
      </c>
      <c r="AK284" t="s">
        <v>3</v>
      </c>
      <c r="AL284" t="s">
        <v>3</v>
      </c>
      <c r="AM284" t="s">
        <v>78</v>
      </c>
    </row>
    <row r="285" spans="36:39" ht="16.5" customHeight="1" x14ac:dyDescent="0.25">
      <c r="AJ285" t="s">
        <v>3</v>
      </c>
      <c r="AK285" t="s">
        <v>3</v>
      </c>
      <c r="AL285" t="s">
        <v>3</v>
      </c>
      <c r="AM285" t="s">
        <v>153</v>
      </c>
    </row>
    <row r="286" spans="36:39" ht="16.5" customHeight="1" x14ac:dyDescent="0.25">
      <c r="AJ286" t="s">
        <v>3</v>
      </c>
      <c r="AK286" t="s">
        <v>3</v>
      </c>
      <c r="AL286" t="s">
        <v>3</v>
      </c>
      <c r="AM286" t="s">
        <v>136</v>
      </c>
    </row>
    <row r="287" spans="36:39" ht="16.5" customHeight="1" x14ac:dyDescent="0.25">
      <c r="AJ287" t="s">
        <v>3</v>
      </c>
      <c r="AK287" t="s">
        <v>3</v>
      </c>
      <c r="AL287" t="s">
        <v>3</v>
      </c>
      <c r="AM287" t="s">
        <v>78</v>
      </c>
    </row>
    <row r="288" spans="36:39" ht="16.5" customHeight="1" x14ac:dyDescent="0.25">
      <c r="AJ288" t="s">
        <v>3</v>
      </c>
      <c r="AK288" t="s">
        <v>3</v>
      </c>
      <c r="AL288" t="s">
        <v>3</v>
      </c>
      <c r="AM288" t="s">
        <v>78</v>
      </c>
    </row>
    <row r="289" spans="36:39" ht="16.5" customHeight="1" x14ac:dyDescent="0.25">
      <c r="AJ289" t="s">
        <v>3</v>
      </c>
      <c r="AK289" t="s">
        <v>3</v>
      </c>
      <c r="AL289" t="s">
        <v>3</v>
      </c>
      <c r="AM289" t="s">
        <v>78</v>
      </c>
    </row>
    <row r="290" spans="36:39" ht="16.5" customHeight="1" x14ac:dyDescent="0.25">
      <c r="AJ290" t="s">
        <v>3</v>
      </c>
      <c r="AK290" t="s">
        <v>3</v>
      </c>
      <c r="AL290" t="s">
        <v>3</v>
      </c>
      <c r="AM290" t="s">
        <v>129</v>
      </c>
    </row>
    <row r="291" spans="36:39" ht="16.5" customHeight="1" x14ac:dyDescent="0.25">
      <c r="AJ291" t="s">
        <v>3</v>
      </c>
      <c r="AK291" t="s">
        <v>3</v>
      </c>
      <c r="AL291" t="s">
        <v>3</v>
      </c>
      <c r="AM291" t="s">
        <v>78</v>
      </c>
    </row>
    <row r="292" spans="36:39" ht="16.5" customHeight="1" x14ac:dyDescent="0.25">
      <c r="AJ292" t="s">
        <v>3</v>
      </c>
      <c r="AK292" t="s">
        <v>3</v>
      </c>
      <c r="AL292" t="s">
        <v>3</v>
      </c>
      <c r="AM292" t="s">
        <v>78</v>
      </c>
    </row>
    <row r="293" spans="36:39" ht="16.5" customHeight="1" x14ac:dyDescent="0.25">
      <c r="AJ293" t="s">
        <v>3</v>
      </c>
      <c r="AK293" t="s">
        <v>3</v>
      </c>
      <c r="AL293" t="s">
        <v>1</v>
      </c>
      <c r="AM293" t="s">
        <v>137</v>
      </c>
    </row>
    <row r="294" spans="36:39" ht="16.5" customHeight="1" x14ac:dyDescent="0.25">
      <c r="AJ294" t="s">
        <v>3</v>
      </c>
      <c r="AK294" t="s">
        <v>1</v>
      </c>
      <c r="AL294" t="s">
        <v>3</v>
      </c>
      <c r="AM294" t="s">
        <v>78</v>
      </c>
    </row>
    <row r="295" spans="36:39" ht="16.5" customHeight="1" x14ac:dyDescent="0.25">
      <c r="AJ295" t="s">
        <v>3</v>
      </c>
      <c r="AK295" t="s">
        <v>3</v>
      </c>
      <c r="AL295" t="s">
        <v>3</v>
      </c>
      <c r="AM295" t="s">
        <v>78</v>
      </c>
    </row>
    <row r="296" spans="36:39" ht="16.5" customHeight="1" x14ac:dyDescent="0.25">
      <c r="AJ296" t="s">
        <v>3</v>
      </c>
      <c r="AK296" t="s">
        <v>3</v>
      </c>
      <c r="AL296" t="s">
        <v>3</v>
      </c>
      <c r="AM296" t="s">
        <v>78</v>
      </c>
    </row>
    <row r="297" spans="36:39" ht="16.5" customHeight="1" x14ac:dyDescent="0.25">
      <c r="AJ297" t="s">
        <v>3</v>
      </c>
      <c r="AK297" t="s">
        <v>3</v>
      </c>
      <c r="AL297" t="s">
        <v>3</v>
      </c>
      <c r="AM297" t="s">
        <v>129</v>
      </c>
    </row>
    <row r="298" spans="36:39" ht="16.5" customHeight="1" x14ac:dyDescent="0.25">
      <c r="AJ298" t="s">
        <v>3</v>
      </c>
      <c r="AK298" t="s">
        <v>3</v>
      </c>
      <c r="AL298" t="s">
        <v>3</v>
      </c>
      <c r="AM298" t="s">
        <v>138</v>
      </c>
    </row>
    <row r="299" spans="36:39" ht="16.5" customHeight="1" x14ac:dyDescent="0.25">
      <c r="AJ299" t="s">
        <v>3</v>
      </c>
      <c r="AK299" t="s">
        <v>3</v>
      </c>
      <c r="AL299" t="s">
        <v>3</v>
      </c>
      <c r="AM299" t="s">
        <v>139</v>
      </c>
    </row>
    <row r="300" spans="36:39" ht="16.5" customHeight="1" x14ac:dyDescent="0.25">
      <c r="AJ300" t="s">
        <v>3</v>
      </c>
      <c r="AK300" t="s">
        <v>3</v>
      </c>
      <c r="AL300" t="s">
        <v>3</v>
      </c>
      <c r="AM300" t="s">
        <v>78</v>
      </c>
    </row>
    <row r="301" spans="36:39" ht="16.5" customHeight="1" x14ac:dyDescent="0.25">
      <c r="AJ301" t="s">
        <v>3</v>
      </c>
      <c r="AK301" t="s">
        <v>3</v>
      </c>
      <c r="AL301" t="s">
        <v>1</v>
      </c>
      <c r="AM301" t="s">
        <v>137</v>
      </c>
    </row>
    <row r="302" spans="36:39" ht="16.5" customHeight="1" x14ac:dyDescent="0.25">
      <c r="AJ302" t="s">
        <v>3</v>
      </c>
      <c r="AK302" t="s">
        <v>1</v>
      </c>
      <c r="AL302" t="s">
        <v>3</v>
      </c>
      <c r="AM302" t="s">
        <v>78</v>
      </c>
    </row>
    <row r="303" spans="36:39" ht="16.5" customHeight="1" x14ac:dyDescent="0.25">
      <c r="AJ303" t="s">
        <v>3</v>
      </c>
      <c r="AK303" t="s">
        <v>1</v>
      </c>
      <c r="AL303" t="s">
        <v>3</v>
      </c>
      <c r="AM303" t="s">
        <v>78</v>
      </c>
    </row>
    <row r="304" spans="36:39" ht="16.5" customHeight="1" x14ac:dyDescent="0.25">
      <c r="AJ304" t="s">
        <v>3</v>
      </c>
      <c r="AK304" t="s">
        <v>1</v>
      </c>
      <c r="AL304" t="s">
        <v>3</v>
      </c>
      <c r="AM304" t="s">
        <v>78</v>
      </c>
    </row>
    <row r="305" spans="36:39" ht="16.5" customHeight="1" x14ac:dyDescent="0.25">
      <c r="AJ305" t="s">
        <v>3</v>
      </c>
      <c r="AK305" t="s">
        <v>3</v>
      </c>
      <c r="AL305" t="s">
        <v>3</v>
      </c>
      <c r="AM305" t="s">
        <v>78</v>
      </c>
    </row>
    <row r="306" spans="36:39" ht="16.5" customHeight="1" x14ac:dyDescent="0.25">
      <c r="AJ306" t="s">
        <v>3</v>
      </c>
      <c r="AK306" t="s">
        <v>1</v>
      </c>
      <c r="AL306" t="s">
        <v>3</v>
      </c>
      <c r="AM306" t="s">
        <v>78</v>
      </c>
    </row>
    <row r="307" spans="36:39" ht="16.5" customHeight="1" x14ac:dyDescent="0.25">
      <c r="AJ307" t="s">
        <v>3</v>
      </c>
      <c r="AK307" t="s">
        <v>3</v>
      </c>
      <c r="AL307" t="s">
        <v>3</v>
      </c>
      <c r="AM307" t="s">
        <v>135</v>
      </c>
    </row>
    <row r="308" spans="36:39" ht="16.5" customHeight="1" x14ac:dyDescent="0.25">
      <c r="AJ308" t="s">
        <v>3</v>
      </c>
      <c r="AK308" t="s">
        <v>3</v>
      </c>
      <c r="AL308" t="s">
        <v>3</v>
      </c>
      <c r="AM308" t="s">
        <v>154</v>
      </c>
    </row>
    <row r="309" spans="36:39" ht="16.5" customHeight="1" x14ac:dyDescent="0.25">
      <c r="AJ309" t="s">
        <v>1</v>
      </c>
      <c r="AK309" t="s">
        <v>3</v>
      </c>
      <c r="AL309" t="s">
        <v>3</v>
      </c>
      <c r="AM309" t="s">
        <v>74</v>
      </c>
    </row>
    <row r="310" spans="36:39" ht="16.5" customHeight="1" x14ac:dyDescent="0.25">
      <c r="AJ310" t="s">
        <v>3</v>
      </c>
      <c r="AK310" t="s">
        <v>3</v>
      </c>
      <c r="AL310" t="s">
        <v>3</v>
      </c>
      <c r="AM310" t="s">
        <v>78</v>
      </c>
    </row>
    <row r="311" spans="36:39" ht="16.5" customHeight="1" x14ac:dyDescent="0.25">
      <c r="AJ311" t="s">
        <v>3</v>
      </c>
      <c r="AK311" t="s">
        <v>3</v>
      </c>
      <c r="AL311" t="s">
        <v>3</v>
      </c>
      <c r="AM311" t="s">
        <v>78</v>
      </c>
    </row>
    <row r="312" spans="36:39" ht="16.5" customHeight="1" x14ac:dyDescent="0.25">
      <c r="AJ312" t="s">
        <v>3</v>
      </c>
      <c r="AK312" t="s">
        <v>3</v>
      </c>
      <c r="AL312" t="s">
        <v>3</v>
      </c>
      <c r="AM312" t="s">
        <v>78</v>
      </c>
    </row>
    <row r="313" spans="36:39" ht="16.5" customHeight="1" x14ac:dyDescent="0.25">
      <c r="AJ313" t="s">
        <v>3</v>
      </c>
      <c r="AK313" t="s">
        <v>3</v>
      </c>
      <c r="AL313" t="s">
        <v>3</v>
      </c>
      <c r="AM313" t="s">
        <v>153</v>
      </c>
    </row>
    <row r="314" spans="36:39" ht="16.5" customHeight="1" x14ac:dyDescent="0.25">
      <c r="AJ314" t="s">
        <v>3</v>
      </c>
      <c r="AK314" t="s">
        <v>3</v>
      </c>
      <c r="AL314" t="s">
        <v>3</v>
      </c>
      <c r="AM314" t="s">
        <v>136</v>
      </c>
    </row>
    <row r="315" spans="36:39" ht="16.5" customHeight="1" x14ac:dyDescent="0.25">
      <c r="AJ315" t="s">
        <v>3</v>
      </c>
      <c r="AK315" t="s">
        <v>3</v>
      </c>
      <c r="AL315" t="s">
        <v>3</v>
      </c>
      <c r="AM315" t="s">
        <v>78</v>
      </c>
    </row>
    <row r="316" spans="36:39" ht="16.5" customHeight="1" x14ac:dyDescent="0.25">
      <c r="AJ316" t="s">
        <v>3</v>
      </c>
      <c r="AK316" t="s">
        <v>3</v>
      </c>
      <c r="AL316" t="s">
        <v>3</v>
      </c>
      <c r="AM316" t="s">
        <v>78</v>
      </c>
    </row>
    <row r="317" spans="36:39" ht="16.5" customHeight="1" x14ac:dyDescent="0.25">
      <c r="AJ317" t="s">
        <v>3</v>
      </c>
      <c r="AK317" t="s">
        <v>3</v>
      </c>
      <c r="AL317" t="s">
        <v>3</v>
      </c>
      <c r="AM317" t="s">
        <v>78</v>
      </c>
    </row>
    <row r="318" spans="36:39" ht="16.5" customHeight="1" x14ac:dyDescent="0.25">
      <c r="AJ318" t="s">
        <v>3</v>
      </c>
      <c r="AK318" t="s">
        <v>3</v>
      </c>
      <c r="AL318" t="s">
        <v>3</v>
      </c>
      <c r="AM318" t="s">
        <v>138</v>
      </c>
    </row>
    <row r="319" spans="36:39" ht="16.5" customHeight="1" x14ac:dyDescent="0.25">
      <c r="AJ319" t="s">
        <v>3</v>
      </c>
      <c r="AK319" t="s">
        <v>3</v>
      </c>
      <c r="AL319" t="s">
        <v>3</v>
      </c>
      <c r="AM319" t="s">
        <v>78</v>
      </c>
    </row>
    <row r="320" spans="36:39" ht="16.5" customHeight="1" x14ac:dyDescent="0.25">
      <c r="AJ320" t="s">
        <v>3</v>
      </c>
      <c r="AK320" t="s">
        <v>3</v>
      </c>
      <c r="AL320" t="s">
        <v>3</v>
      </c>
      <c r="AM320" t="s">
        <v>78</v>
      </c>
    </row>
    <row r="321" spans="36:39" ht="16.5" customHeight="1" x14ac:dyDescent="0.25">
      <c r="AJ321" t="s">
        <v>3</v>
      </c>
      <c r="AK321" t="s">
        <v>3</v>
      </c>
      <c r="AL321" t="s">
        <v>1</v>
      </c>
      <c r="AM321" t="s">
        <v>137</v>
      </c>
    </row>
    <row r="322" spans="36:39" ht="16.5" customHeight="1" x14ac:dyDescent="0.25">
      <c r="AJ322" t="s">
        <v>3</v>
      </c>
      <c r="AK322" t="s">
        <v>1</v>
      </c>
      <c r="AL322" t="s">
        <v>3</v>
      </c>
      <c r="AM322" t="s">
        <v>78</v>
      </c>
    </row>
    <row r="323" spans="36:39" ht="16.5" customHeight="1" x14ac:dyDescent="0.25">
      <c r="AJ323" t="s">
        <v>3</v>
      </c>
      <c r="AK323" t="s">
        <v>1</v>
      </c>
      <c r="AL323" t="s">
        <v>3</v>
      </c>
      <c r="AM323" t="s">
        <v>78</v>
      </c>
    </row>
    <row r="324" spans="36:39" ht="16.5" customHeight="1" x14ac:dyDescent="0.25">
      <c r="AJ324" t="s">
        <v>3</v>
      </c>
      <c r="AK324" t="s">
        <v>1</v>
      </c>
      <c r="AL324" t="s">
        <v>3</v>
      </c>
      <c r="AM324" t="s">
        <v>78</v>
      </c>
    </row>
    <row r="325" spans="36:39" ht="16.5" customHeight="1" x14ac:dyDescent="0.25">
      <c r="AJ325" t="s">
        <v>3</v>
      </c>
      <c r="AK325" t="s">
        <v>3</v>
      </c>
      <c r="AL325" t="s">
        <v>3</v>
      </c>
      <c r="AM325" t="s">
        <v>78</v>
      </c>
    </row>
    <row r="326" spans="36:39" ht="16.5" customHeight="1" x14ac:dyDescent="0.25">
      <c r="AJ326" t="s">
        <v>3</v>
      </c>
      <c r="AK326" t="s">
        <v>1</v>
      </c>
      <c r="AL326" t="s">
        <v>3</v>
      </c>
      <c r="AM326" t="s">
        <v>78</v>
      </c>
    </row>
    <row r="327" spans="36:39" ht="16.5" customHeight="1" x14ac:dyDescent="0.25">
      <c r="AJ327" t="s">
        <v>3</v>
      </c>
      <c r="AK327" t="s">
        <v>3</v>
      </c>
      <c r="AL327" t="s">
        <v>3</v>
      </c>
      <c r="AM327" t="s">
        <v>86</v>
      </c>
    </row>
    <row r="328" spans="36:39" ht="16.5" customHeight="1" x14ac:dyDescent="0.25">
      <c r="AJ328" t="s">
        <v>3</v>
      </c>
      <c r="AK328" t="s">
        <v>3</v>
      </c>
      <c r="AL328" t="s">
        <v>3</v>
      </c>
      <c r="AM328" t="s">
        <v>131</v>
      </c>
    </row>
    <row r="329" spans="36:39" ht="16.5" customHeight="1" x14ac:dyDescent="0.25">
      <c r="AJ329" t="s">
        <v>3</v>
      </c>
      <c r="AK329" t="s">
        <v>3</v>
      </c>
      <c r="AL329" t="s">
        <v>3</v>
      </c>
      <c r="AM329" t="s">
        <v>132</v>
      </c>
    </row>
    <row r="330" spans="36:39" ht="16.5" customHeight="1" x14ac:dyDescent="0.25">
      <c r="AJ330" t="s">
        <v>3</v>
      </c>
      <c r="AK330" t="s">
        <v>3</v>
      </c>
      <c r="AL330" t="s">
        <v>3</v>
      </c>
      <c r="AM330" t="s">
        <v>78</v>
      </c>
    </row>
    <row r="331" spans="36:39" ht="16.5" customHeight="1" x14ac:dyDescent="0.25">
      <c r="AJ331" t="s">
        <v>3</v>
      </c>
      <c r="AK331" t="s">
        <v>3</v>
      </c>
      <c r="AL331" t="s">
        <v>1</v>
      </c>
      <c r="AM331" t="s">
        <v>147</v>
      </c>
    </row>
    <row r="332" spans="36:39" ht="16.5" customHeight="1" x14ac:dyDescent="0.25">
      <c r="AJ332" t="s">
        <v>3</v>
      </c>
      <c r="AK332" t="s">
        <v>3</v>
      </c>
      <c r="AL332" t="s">
        <v>3</v>
      </c>
      <c r="AM332" t="s">
        <v>78</v>
      </c>
    </row>
    <row r="333" spans="36:39" ht="16.5" customHeight="1" x14ac:dyDescent="0.25">
      <c r="AJ333" t="s">
        <v>3</v>
      </c>
      <c r="AK333" t="s">
        <v>3</v>
      </c>
      <c r="AL333" t="s">
        <v>3</v>
      </c>
      <c r="AM333" t="s">
        <v>148</v>
      </c>
    </row>
    <row r="334" spans="36:39" ht="16.5" customHeight="1" x14ac:dyDescent="0.25">
      <c r="AJ334" t="s">
        <v>3</v>
      </c>
      <c r="AK334" t="s">
        <v>3</v>
      </c>
      <c r="AL334" t="s">
        <v>3</v>
      </c>
      <c r="AM334" t="s">
        <v>155</v>
      </c>
    </row>
    <row r="335" spans="36:39" ht="16.5" customHeight="1" x14ac:dyDescent="0.25">
      <c r="AJ335" t="s">
        <v>3</v>
      </c>
      <c r="AK335" t="s">
        <v>3</v>
      </c>
      <c r="AL335" t="s">
        <v>3</v>
      </c>
      <c r="AM335" t="s">
        <v>133</v>
      </c>
    </row>
    <row r="336" spans="36:39" ht="16.5" customHeight="1" x14ac:dyDescent="0.25">
      <c r="AJ336" t="s">
        <v>3</v>
      </c>
      <c r="AK336" t="s">
        <v>3</v>
      </c>
      <c r="AL336" t="s">
        <v>3</v>
      </c>
      <c r="AM336" t="s">
        <v>134</v>
      </c>
    </row>
    <row r="337" spans="36:39" ht="16.5" customHeight="1" x14ac:dyDescent="0.25">
      <c r="AJ337" t="s">
        <v>3</v>
      </c>
      <c r="AK337" t="s">
        <v>3</v>
      </c>
      <c r="AL337" t="s">
        <v>3</v>
      </c>
      <c r="AM337" t="s">
        <v>78</v>
      </c>
    </row>
    <row r="338" spans="36:39" ht="16.5" customHeight="1" x14ac:dyDescent="0.25">
      <c r="AJ338" t="s">
        <v>3</v>
      </c>
      <c r="AK338" t="s">
        <v>3</v>
      </c>
      <c r="AL338" t="s">
        <v>3</v>
      </c>
      <c r="AM338" t="s">
        <v>138</v>
      </c>
    </row>
    <row r="339" spans="36:39" ht="16.5" customHeight="1" x14ac:dyDescent="0.25">
      <c r="AJ339" t="s">
        <v>3</v>
      </c>
      <c r="AK339" t="s">
        <v>3</v>
      </c>
      <c r="AL339" t="s">
        <v>3</v>
      </c>
      <c r="AM339" t="s">
        <v>78</v>
      </c>
    </row>
    <row r="340" spans="36:39" ht="16.5" customHeight="1" x14ac:dyDescent="0.25">
      <c r="AJ340" t="s">
        <v>3</v>
      </c>
      <c r="AK340" t="s">
        <v>1</v>
      </c>
      <c r="AL340" t="s">
        <v>3</v>
      </c>
      <c r="AM340" t="s">
        <v>78</v>
      </c>
    </row>
    <row r="341" spans="36:39" ht="16.5" customHeight="1" x14ac:dyDescent="0.25">
      <c r="AJ341" t="s">
        <v>3</v>
      </c>
      <c r="AK341" t="s">
        <v>3</v>
      </c>
      <c r="AL341" t="s">
        <v>3</v>
      </c>
      <c r="AM341" t="s">
        <v>93</v>
      </c>
    </row>
    <row r="342" spans="36:39" ht="16.5" customHeight="1" x14ac:dyDescent="0.25">
      <c r="AJ342" t="s">
        <v>3</v>
      </c>
      <c r="AK342" t="s">
        <v>3</v>
      </c>
      <c r="AL342" t="s">
        <v>3</v>
      </c>
      <c r="AM342" t="s">
        <v>78</v>
      </c>
    </row>
    <row r="343" spans="36:39" ht="16.5" customHeight="1" x14ac:dyDescent="0.25">
      <c r="AJ343" t="s">
        <v>3</v>
      </c>
      <c r="AK343" t="s">
        <v>3</v>
      </c>
      <c r="AL343" t="s">
        <v>1</v>
      </c>
      <c r="AM343" t="s">
        <v>113</v>
      </c>
    </row>
    <row r="344" spans="36:39" ht="16.5" customHeight="1" x14ac:dyDescent="0.25">
      <c r="AJ344" t="s">
        <v>3</v>
      </c>
      <c r="AK344" t="s">
        <v>1</v>
      </c>
      <c r="AL344" t="s">
        <v>3</v>
      </c>
      <c r="AM344" t="s">
        <v>78</v>
      </c>
    </row>
    <row r="345" spans="36:39" ht="16.5" customHeight="1" x14ac:dyDescent="0.25">
      <c r="AJ345" t="s">
        <v>3</v>
      </c>
      <c r="AK345" t="s">
        <v>3</v>
      </c>
      <c r="AL345" t="s">
        <v>3</v>
      </c>
      <c r="AM345" t="s">
        <v>133</v>
      </c>
    </row>
    <row r="346" spans="36:39" ht="16.5" customHeight="1" x14ac:dyDescent="0.25">
      <c r="AJ346" t="s">
        <v>3</v>
      </c>
      <c r="AK346" t="s">
        <v>3</v>
      </c>
      <c r="AL346" t="s">
        <v>3</v>
      </c>
      <c r="AM346" t="s">
        <v>128</v>
      </c>
    </row>
    <row r="347" spans="36:39" ht="16.5" customHeight="1" x14ac:dyDescent="0.25">
      <c r="AJ347" t="s">
        <v>3</v>
      </c>
      <c r="AK347" t="s">
        <v>3</v>
      </c>
      <c r="AL347" t="s">
        <v>3</v>
      </c>
      <c r="AM347" t="s">
        <v>156</v>
      </c>
    </row>
    <row r="348" spans="36:39" ht="16.5" customHeight="1" x14ac:dyDescent="0.25">
      <c r="AJ348" t="s">
        <v>3</v>
      </c>
      <c r="AK348" t="s">
        <v>3</v>
      </c>
      <c r="AL348" t="s">
        <v>3</v>
      </c>
      <c r="AM348" t="s">
        <v>157</v>
      </c>
    </row>
    <row r="349" spans="36:39" ht="16.5" customHeight="1" x14ac:dyDescent="0.25">
      <c r="AJ349" t="s">
        <v>3</v>
      </c>
      <c r="AK349" t="s">
        <v>3</v>
      </c>
      <c r="AL349" t="s">
        <v>3</v>
      </c>
      <c r="AM349" t="s">
        <v>78</v>
      </c>
    </row>
    <row r="350" spans="36:39" ht="16.5" customHeight="1" x14ac:dyDescent="0.25">
      <c r="AJ350" t="s">
        <v>3</v>
      </c>
      <c r="AK350" t="s">
        <v>3</v>
      </c>
      <c r="AL350" t="s">
        <v>3</v>
      </c>
      <c r="AM350" t="s">
        <v>78</v>
      </c>
    </row>
    <row r="351" spans="36:39" ht="16.5" customHeight="1" x14ac:dyDescent="0.25">
      <c r="AJ351" t="s">
        <v>3</v>
      </c>
      <c r="AK351" t="s">
        <v>3</v>
      </c>
      <c r="AL351" t="s">
        <v>3</v>
      </c>
      <c r="AM351" t="s">
        <v>78</v>
      </c>
    </row>
    <row r="352" spans="36:39" ht="16.5" customHeight="1" x14ac:dyDescent="0.25">
      <c r="AJ352" t="s">
        <v>3</v>
      </c>
      <c r="AK352" t="s">
        <v>3</v>
      </c>
      <c r="AL352" t="s">
        <v>3</v>
      </c>
      <c r="AM352" t="s">
        <v>93</v>
      </c>
    </row>
    <row r="353" spans="36:39" ht="16.5" customHeight="1" x14ac:dyDescent="0.25">
      <c r="AJ353" t="s">
        <v>3</v>
      </c>
      <c r="AK353" t="s">
        <v>3</v>
      </c>
      <c r="AL353" t="s">
        <v>3</v>
      </c>
      <c r="AM353" t="s">
        <v>78</v>
      </c>
    </row>
    <row r="354" spans="36:39" ht="16.5" customHeight="1" x14ac:dyDescent="0.25">
      <c r="AJ354" t="s">
        <v>3</v>
      </c>
      <c r="AK354" t="s">
        <v>3</v>
      </c>
      <c r="AL354" t="s">
        <v>3</v>
      </c>
      <c r="AM354" t="s">
        <v>99</v>
      </c>
    </row>
    <row r="355" spans="36:39" ht="16.5" customHeight="1" x14ac:dyDescent="0.25">
      <c r="AJ355" t="s">
        <v>3</v>
      </c>
      <c r="AK355" t="s">
        <v>3</v>
      </c>
      <c r="AL355" t="s">
        <v>3</v>
      </c>
      <c r="AM355" t="s">
        <v>158</v>
      </c>
    </row>
    <row r="356" spans="36:39" ht="16.5" customHeight="1" x14ac:dyDescent="0.25">
      <c r="AJ356" t="s">
        <v>3</v>
      </c>
      <c r="AK356" t="s">
        <v>3</v>
      </c>
      <c r="AL356" t="s">
        <v>3</v>
      </c>
      <c r="AM356" t="s">
        <v>78</v>
      </c>
    </row>
    <row r="357" spans="36:39" ht="16.5" customHeight="1" x14ac:dyDescent="0.25">
      <c r="AJ357" t="s">
        <v>3</v>
      </c>
      <c r="AK357" t="s">
        <v>3</v>
      </c>
      <c r="AL357" t="s">
        <v>3</v>
      </c>
      <c r="AM357" t="s">
        <v>78</v>
      </c>
    </row>
    <row r="358" spans="36:39" ht="16.5" customHeight="1" x14ac:dyDescent="0.25">
      <c r="AJ358" t="s">
        <v>3</v>
      </c>
      <c r="AK358" t="s">
        <v>3</v>
      </c>
      <c r="AL358" t="s">
        <v>1</v>
      </c>
      <c r="AM358" t="s">
        <v>113</v>
      </c>
    </row>
    <row r="359" spans="36:39" ht="16.5" customHeight="1" x14ac:dyDescent="0.25">
      <c r="AJ359" t="s">
        <v>3</v>
      </c>
      <c r="AK359" t="s">
        <v>1</v>
      </c>
      <c r="AL359" t="s">
        <v>3</v>
      </c>
      <c r="AM359" t="s">
        <v>78</v>
      </c>
    </row>
    <row r="360" spans="36:39" ht="16.5" customHeight="1" x14ac:dyDescent="0.25">
      <c r="AJ360" t="s">
        <v>3</v>
      </c>
      <c r="AK360" t="s">
        <v>3</v>
      </c>
      <c r="AL360" t="s">
        <v>3</v>
      </c>
      <c r="AM360" t="s">
        <v>133</v>
      </c>
    </row>
    <row r="361" spans="36:39" ht="16.5" customHeight="1" x14ac:dyDescent="0.25">
      <c r="AJ361" t="s">
        <v>3</v>
      </c>
      <c r="AK361" t="s">
        <v>3</v>
      </c>
      <c r="AL361" t="s">
        <v>3</v>
      </c>
      <c r="AM361" t="s">
        <v>140</v>
      </c>
    </row>
    <row r="362" spans="36:39" ht="16.5" customHeight="1" x14ac:dyDescent="0.25">
      <c r="AJ362" t="s">
        <v>3</v>
      </c>
      <c r="AK362" t="s">
        <v>3</v>
      </c>
      <c r="AL362" t="s">
        <v>3</v>
      </c>
      <c r="AM362" t="s">
        <v>78</v>
      </c>
    </row>
    <row r="363" spans="36:39" ht="16.5" customHeight="1" x14ac:dyDescent="0.25">
      <c r="AJ363" t="s">
        <v>3</v>
      </c>
      <c r="AK363" t="s">
        <v>3</v>
      </c>
      <c r="AL363" t="s">
        <v>3</v>
      </c>
      <c r="AM363" t="s">
        <v>141</v>
      </c>
    </row>
    <row r="364" spans="36:39" ht="16.5" customHeight="1" x14ac:dyDescent="0.25">
      <c r="AJ364" t="s">
        <v>3</v>
      </c>
      <c r="AK364" t="s">
        <v>3</v>
      </c>
      <c r="AL364" t="s">
        <v>3</v>
      </c>
      <c r="AM364" t="s">
        <v>87</v>
      </c>
    </row>
    <row r="365" spans="36:39" ht="16.5" customHeight="1" x14ac:dyDescent="0.25">
      <c r="AJ365" t="s">
        <v>3</v>
      </c>
      <c r="AK365" t="s">
        <v>3</v>
      </c>
      <c r="AL365" t="s">
        <v>3</v>
      </c>
      <c r="AM365" t="s">
        <v>78</v>
      </c>
    </row>
    <row r="366" spans="36:39" ht="16.5" customHeight="1" x14ac:dyDescent="0.25">
      <c r="AJ366" t="s">
        <v>3</v>
      </c>
      <c r="AK366" t="s">
        <v>3</v>
      </c>
      <c r="AL366" t="s">
        <v>3</v>
      </c>
      <c r="AM366" t="s">
        <v>93</v>
      </c>
    </row>
    <row r="367" spans="36:39" ht="16.5" customHeight="1" x14ac:dyDescent="0.25">
      <c r="AJ367" t="s">
        <v>3</v>
      </c>
      <c r="AK367" t="s">
        <v>3</v>
      </c>
      <c r="AL367" t="s">
        <v>3</v>
      </c>
      <c r="AM367" t="s">
        <v>78</v>
      </c>
    </row>
    <row r="368" spans="36:39" ht="16.5" customHeight="1" x14ac:dyDescent="0.25">
      <c r="AJ368" t="s">
        <v>3</v>
      </c>
      <c r="AK368" t="s">
        <v>3</v>
      </c>
      <c r="AL368" t="s">
        <v>1</v>
      </c>
      <c r="AM368" t="s">
        <v>78</v>
      </c>
    </row>
    <row r="369" spans="36:39" ht="16.5" customHeight="1" x14ac:dyDescent="0.25">
      <c r="AJ369" t="s">
        <v>3</v>
      </c>
      <c r="AK369" t="s">
        <v>3</v>
      </c>
      <c r="AL369" t="s">
        <v>3</v>
      </c>
      <c r="AM369" t="s">
        <v>93</v>
      </c>
    </row>
    <row r="370" spans="36:39" ht="16.5" customHeight="1" x14ac:dyDescent="0.25">
      <c r="AJ370" t="s">
        <v>3</v>
      </c>
      <c r="AK370" t="s">
        <v>1</v>
      </c>
      <c r="AL370" t="s">
        <v>3</v>
      </c>
      <c r="AM370" t="s">
        <v>78</v>
      </c>
    </row>
    <row r="371" spans="36:39" ht="16.5" customHeight="1" x14ac:dyDescent="0.25">
      <c r="AJ371" t="s">
        <v>3</v>
      </c>
      <c r="AK371" t="s">
        <v>3</v>
      </c>
      <c r="AL371" t="s">
        <v>3</v>
      </c>
      <c r="AM371" t="s">
        <v>133</v>
      </c>
    </row>
    <row r="372" spans="36:39" ht="16.5" customHeight="1" x14ac:dyDescent="0.25">
      <c r="AJ372" t="s">
        <v>3</v>
      </c>
      <c r="AK372" t="s">
        <v>3</v>
      </c>
      <c r="AL372" t="s">
        <v>3</v>
      </c>
      <c r="AM372" t="s">
        <v>142</v>
      </c>
    </row>
    <row r="373" spans="36:39" ht="16.5" customHeight="1" x14ac:dyDescent="0.25">
      <c r="AJ373" t="s">
        <v>3</v>
      </c>
      <c r="AK373" t="s">
        <v>3</v>
      </c>
      <c r="AL373" t="s">
        <v>3</v>
      </c>
      <c r="AM373" t="s">
        <v>89</v>
      </c>
    </row>
    <row r="374" spans="36:39" ht="16.5" customHeight="1" x14ac:dyDescent="0.25">
      <c r="AJ374" t="s">
        <v>3</v>
      </c>
      <c r="AK374" t="s">
        <v>3</v>
      </c>
      <c r="AL374" t="s">
        <v>3</v>
      </c>
      <c r="AM374" t="s">
        <v>149</v>
      </c>
    </row>
    <row r="375" spans="36:39" ht="16.5" customHeight="1" x14ac:dyDescent="0.25">
      <c r="AJ375" t="s">
        <v>3</v>
      </c>
      <c r="AK375" t="s">
        <v>3</v>
      </c>
      <c r="AL375" t="s">
        <v>3</v>
      </c>
      <c r="AM375" t="s">
        <v>78</v>
      </c>
    </row>
    <row r="376" spans="36:39" ht="16.5" customHeight="1" x14ac:dyDescent="0.25">
      <c r="AJ376" t="s">
        <v>3</v>
      </c>
      <c r="AK376" t="s">
        <v>3</v>
      </c>
      <c r="AL376" t="s">
        <v>3</v>
      </c>
      <c r="AM376" t="s">
        <v>78</v>
      </c>
    </row>
    <row r="377" spans="36:39" ht="16.5" customHeight="1" x14ac:dyDescent="0.25">
      <c r="AJ377" t="s">
        <v>3</v>
      </c>
      <c r="AK377" t="s">
        <v>3</v>
      </c>
      <c r="AL377" t="s">
        <v>3</v>
      </c>
      <c r="AM377" t="s">
        <v>78</v>
      </c>
    </row>
    <row r="378" spans="36:39" ht="16.5" customHeight="1" x14ac:dyDescent="0.25">
      <c r="AJ378" t="s">
        <v>3</v>
      </c>
      <c r="AK378" t="s">
        <v>1</v>
      </c>
      <c r="AL378" t="s">
        <v>3</v>
      </c>
      <c r="AM378" t="s">
        <v>78</v>
      </c>
    </row>
    <row r="379" spans="36:39" ht="16.5" customHeight="1" x14ac:dyDescent="0.25">
      <c r="AJ379" t="s">
        <v>3</v>
      </c>
      <c r="AK379" t="s">
        <v>3</v>
      </c>
      <c r="AL379" t="s">
        <v>3</v>
      </c>
      <c r="AM379" t="s">
        <v>78</v>
      </c>
    </row>
    <row r="380" spans="36:39" ht="16.5" customHeight="1" x14ac:dyDescent="0.25">
      <c r="AJ380" t="s">
        <v>3</v>
      </c>
      <c r="AK380" t="s">
        <v>1</v>
      </c>
      <c r="AL380" t="s">
        <v>3</v>
      </c>
      <c r="AM380" t="s">
        <v>78</v>
      </c>
    </row>
    <row r="381" spans="36:39" ht="16.5" customHeight="1" x14ac:dyDescent="0.25">
      <c r="AJ381" t="s">
        <v>3</v>
      </c>
      <c r="AK381" t="s">
        <v>3</v>
      </c>
      <c r="AL381" t="s">
        <v>3</v>
      </c>
      <c r="AM381" t="s">
        <v>78</v>
      </c>
    </row>
    <row r="382" spans="36:39" ht="16.5" customHeight="1" x14ac:dyDescent="0.25">
      <c r="AJ382" t="s">
        <v>3</v>
      </c>
      <c r="AK382" t="s">
        <v>1</v>
      </c>
      <c r="AL382" t="s">
        <v>3</v>
      </c>
      <c r="AM382" t="s">
        <v>78</v>
      </c>
    </row>
    <row r="383" spans="36:39" ht="16.5" customHeight="1" x14ac:dyDescent="0.25">
      <c r="AJ383" t="s">
        <v>3</v>
      </c>
      <c r="AK383" t="s">
        <v>3</v>
      </c>
      <c r="AL383" t="s">
        <v>3</v>
      </c>
      <c r="AM383" t="s">
        <v>143</v>
      </c>
    </row>
    <row r="384" spans="36:39" ht="16.5" customHeight="1" x14ac:dyDescent="0.25">
      <c r="AJ384" t="s">
        <v>3</v>
      </c>
      <c r="AK384" t="s">
        <v>1</v>
      </c>
      <c r="AL384" t="s">
        <v>3</v>
      </c>
      <c r="AM384" t="s">
        <v>78</v>
      </c>
    </row>
    <row r="385" spans="36:39" ht="16.5" customHeight="1" x14ac:dyDescent="0.25">
      <c r="AJ385" t="s">
        <v>3</v>
      </c>
      <c r="AK385" t="s">
        <v>1</v>
      </c>
      <c r="AL385" t="s">
        <v>3</v>
      </c>
      <c r="AM385" t="s">
        <v>78</v>
      </c>
    </row>
    <row r="386" spans="36:39" ht="16.5" customHeight="1" x14ac:dyDescent="0.25">
      <c r="AJ386" t="s">
        <v>3</v>
      </c>
      <c r="AK386" t="s">
        <v>3</v>
      </c>
      <c r="AL386" t="s">
        <v>3</v>
      </c>
      <c r="AM386" t="s">
        <v>78</v>
      </c>
    </row>
    <row r="387" spans="36:39" ht="16.5" customHeight="1" x14ac:dyDescent="0.25">
      <c r="AJ387" t="s">
        <v>3</v>
      </c>
      <c r="AK387" t="s">
        <v>3</v>
      </c>
      <c r="AL387" t="s">
        <v>3</v>
      </c>
      <c r="AM387" t="s">
        <v>78</v>
      </c>
    </row>
    <row r="388" spans="36:39" ht="16.5" customHeight="1" x14ac:dyDescent="0.25">
      <c r="AJ388" t="s">
        <v>3</v>
      </c>
      <c r="AK388" t="s">
        <v>3</v>
      </c>
      <c r="AL388" t="s">
        <v>3</v>
      </c>
      <c r="AM388" t="s">
        <v>135</v>
      </c>
    </row>
    <row r="389" spans="36:39" ht="16.5" customHeight="1" x14ac:dyDescent="0.25">
      <c r="AJ389" t="s">
        <v>3</v>
      </c>
      <c r="AK389" t="s">
        <v>3</v>
      </c>
      <c r="AL389" t="s">
        <v>3</v>
      </c>
      <c r="AM389" t="s">
        <v>159</v>
      </c>
    </row>
    <row r="390" spans="36:39" ht="16.5" customHeight="1" x14ac:dyDescent="0.25">
      <c r="AJ390" t="s">
        <v>1</v>
      </c>
      <c r="AK390" t="s">
        <v>3</v>
      </c>
      <c r="AL390" t="s">
        <v>3</v>
      </c>
    </row>
    <row r="391" spans="36:39" ht="16.5" customHeight="1" x14ac:dyDescent="0.25">
      <c r="AJ391" t="s">
        <v>3</v>
      </c>
      <c r="AK391" t="s">
        <v>3</v>
      </c>
      <c r="AL391" t="s">
        <v>3</v>
      </c>
      <c r="AM391" t="s">
        <v>78</v>
      </c>
    </row>
    <row r="392" spans="36:39" ht="16.5" customHeight="1" x14ac:dyDescent="0.25">
      <c r="AJ392" t="s">
        <v>3</v>
      </c>
      <c r="AK392" t="s">
        <v>3</v>
      </c>
      <c r="AL392" t="s">
        <v>3</v>
      </c>
      <c r="AM392" t="s">
        <v>78</v>
      </c>
    </row>
    <row r="393" spans="36:39" ht="16.5" customHeight="1" x14ac:dyDescent="0.25">
      <c r="AJ393" t="s">
        <v>3</v>
      </c>
      <c r="AK393" t="s">
        <v>3</v>
      </c>
      <c r="AL393" t="s">
        <v>3</v>
      </c>
      <c r="AM393" t="s">
        <v>78</v>
      </c>
    </row>
    <row r="394" spans="36:39" ht="16.5" customHeight="1" x14ac:dyDescent="0.25">
      <c r="AJ394" t="s">
        <v>3</v>
      </c>
      <c r="AK394" t="s">
        <v>3</v>
      </c>
      <c r="AL394" t="s">
        <v>3</v>
      </c>
      <c r="AM394" t="s">
        <v>153</v>
      </c>
    </row>
    <row r="395" spans="36:39" ht="16.5" customHeight="1" x14ac:dyDescent="0.25">
      <c r="AJ395" t="s">
        <v>3</v>
      </c>
      <c r="AK395" t="s">
        <v>3</v>
      </c>
      <c r="AL395" t="s">
        <v>3</v>
      </c>
      <c r="AM395" t="s">
        <v>144</v>
      </c>
    </row>
    <row r="396" spans="36:39" ht="16.5" customHeight="1" x14ac:dyDescent="0.25">
      <c r="AJ396" t="s">
        <v>3</v>
      </c>
      <c r="AK396" t="s">
        <v>3</v>
      </c>
      <c r="AL396" t="s">
        <v>3</v>
      </c>
      <c r="AM396" t="s">
        <v>78</v>
      </c>
    </row>
    <row r="397" spans="36:39" ht="16.5" customHeight="1" x14ac:dyDescent="0.25">
      <c r="AJ397" t="s">
        <v>3</v>
      </c>
      <c r="AK397" t="s">
        <v>3</v>
      </c>
      <c r="AL397" t="s">
        <v>3</v>
      </c>
      <c r="AM397" t="s">
        <v>78</v>
      </c>
    </row>
    <row r="398" spans="36:39" ht="16.5" customHeight="1" x14ac:dyDescent="0.25">
      <c r="AJ398" t="s">
        <v>3</v>
      </c>
      <c r="AK398" t="s">
        <v>3</v>
      </c>
      <c r="AL398" t="s">
        <v>3</v>
      </c>
      <c r="AM398" t="s">
        <v>78</v>
      </c>
    </row>
    <row r="399" spans="36:39" ht="16.5" customHeight="1" x14ac:dyDescent="0.25">
      <c r="AJ399" t="s">
        <v>3</v>
      </c>
      <c r="AK399" t="s">
        <v>3</v>
      </c>
      <c r="AL399" t="s">
        <v>3</v>
      </c>
      <c r="AM399" t="s">
        <v>78</v>
      </c>
    </row>
    <row r="400" spans="36:39" ht="16.5" customHeight="1" x14ac:dyDescent="0.25">
      <c r="AJ400" t="s">
        <v>1</v>
      </c>
      <c r="AK400" t="s">
        <v>3</v>
      </c>
      <c r="AL400" t="s">
        <v>3</v>
      </c>
      <c r="AM400" t="s">
        <v>78</v>
      </c>
    </row>
    <row r="401" spans="36:39" ht="16.5" customHeight="1" x14ac:dyDescent="0.25">
      <c r="AJ401" t="s">
        <v>3</v>
      </c>
      <c r="AK401" t="s">
        <v>3</v>
      </c>
      <c r="AL401" t="s">
        <v>3</v>
      </c>
      <c r="AM401" t="s">
        <v>78</v>
      </c>
    </row>
    <row r="402" spans="36:39" ht="16.5" customHeight="1" x14ac:dyDescent="0.25">
      <c r="AJ402" t="s">
        <v>3</v>
      </c>
      <c r="AK402" t="s">
        <v>3</v>
      </c>
      <c r="AL402" t="s">
        <v>3</v>
      </c>
      <c r="AM402" t="s">
        <v>143</v>
      </c>
    </row>
    <row r="403" spans="36:39" ht="16.5" customHeight="1" x14ac:dyDescent="0.25">
      <c r="AJ403" t="s">
        <v>3</v>
      </c>
      <c r="AK403" t="s">
        <v>3</v>
      </c>
      <c r="AL403" t="s">
        <v>3</v>
      </c>
      <c r="AM403" t="s">
        <v>78</v>
      </c>
    </row>
    <row r="404" spans="36:39" ht="16.5" customHeight="1" x14ac:dyDescent="0.25">
      <c r="AJ404" t="s">
        <v>3</v>
      </c>
      <c r="AK404" t="s">
        <v>3</v>
      </c>
      <c r="AL404" t="s">
        <v>3</v>
      </c>
      <c r="AM404" t="s">
        <v>143</v>
      </c>
    </row>
    <row r="405" spans="36:39" ht="16.5" customHeight="1" x14ac:dyDescent="0.25">
      <c r="AJ405" t="s">
        <v>3</v>
      </c>
      <c r="AK405" t="s">
        <v>3</v>
      </c>
      <c r="AL405" t="s">
        <v>3</v>
      </c>
      <c r="AM405" t="s">
        <v>78</v>
      </c>
    </row>
    <row r="406" spans="36:39" ht="16.5" customHeight="1" x14ac:dyDescent="0.25">
      <c r="AJ406" t="s">
        <v>3</v>
      </c>
      <c r="AK406" t="s">
        <v>3</v>
      </c>
      <c r="AL406" t="s">
        <v>3</v>
      </c>
      <c r="AM406" t="s">
        <v>78</v>
      </c>
    </row>
    <row r="407" spans="36:39" ht="16.5" customHeight="1" x14ac:dyDescent="0.25">
      <c r="AJ407" t="s">
        <v>3</v>
      </c>
      <c r="AK407" t="s">
        <v>3</v>
      </c>
      <c r="AL407" t="s">
        <v>3</v>
      </c>
      <c r="AM407" t="s">
        <v>129</v>
      </c>
    </row>
    <row r="408" spans="36:39" ht="16.5" customHeight="1" x14ac:dyDescent="0.25">
      <c r="AJ408" t="s">
        <v>3</v>
      </c>
      <c r="AK408" t="s">
        <v>3</v>
      </c>
      <c r="AL408" t="s">
        <v>3</v>
      </c>
      <c r="AM408" t="s">
        <v>90</v>
      </c>
    </row>
    <row r="409" spans="36:39" ht="16.5" customHeight="1" x14ac:dyDescent="0.25">
      <c r="AJ409" t="s">
        <v>3</v>
      </c>
      <c r="AK409" t="s">
        <v>3</v>
      </c>
      <c r="AL409" t="s">
        <v>3</v>
      </c>
      <c r="AM409" t="s">
        <v>145</v>
      </c>
    </row>
    <row r="410" spans="36:39" ht="16.5" customHeight="1" x14ac:dyDescent="0.25">
      <c r="AJ410" t="s">
        <v>3</v>
      </c>
      <c r="AK410" t="s">
        <v>3</v>
      </c>
      <c r="AL410" t="s">
        <v>3</v>
      </c>
      <c r="AM410" t="s">
        <v>146</v>
      </c>
    </row>
    <row r="411" spans="36:39" ht="16.5" customHeight="1" x14ac:dyDescent="0.25">
      <c r="AJ411" t="s">
        <v>3</v>
      </c>
      <c r="AK411" t="s">
        <v>3</v>
      </c>
      <c r="AL411" t="s">
        <v>3</v>
      </c>
      <c r="AM411" t="s">
        <v>78</v>
      </c>
    </row>
    <row r="412" spans="36:39" ht="16.5" customHeight="1" x14ac:dyDescent="0.25">
      <c r="AJ412" t="s">
        <v>3</v>
      </c>
      <c r="AK412" t="s">
        <v>3</v>
      </c>
      <c r="AL412" t="s">
        <v>3</v>
      </c>
      <c r="AM412" t="s">
        <v>78</v>
      </c>
    </row>
    <row r="413" spans="36:39" ht="16.5" customHeight="1" x14ac:dyDescent="0.25">
      <c r="AJ413" t="s">
        <v>3</v>
      </c>
      <c r="AK413" t="s">
        <v>3</v>
      </c>
      <c r="AL413" t="s">
        <v>3</v>
      </c>
      <c r="AM413" t="s">
        <v>78</v>
      </c>
    </row>
    <row r="414" spans="36:39" ht="16.5" customHeight="1" x14ac:dyDescent="0.25">
      <c r="AJ414" t="s">
        <v>3</v>
      </c>
      <c r="AK414" t="s">
        <v>1</v>
      </c>
      <c r="AL414" t="s">
        <v>3</v>
      </c>
      <c r="AM414" t="s">
        <v>78</v>
      </c>
    </row>
    <row r="415" spans="36:39" ht="16.5" customHeight="1" x14ac:dyDescent="0.25">
      <c r="AJ415" t="s">
        <v>3</v>
      </c>
      <c r="AK415" t="s">
        <v>1</v>
      </c>
      <c r="AL415" t="s">
        <v>3</v>
      </c>
      <c r="AM415" t="s">
        <v>78</v>
      </c>
    </row>
    <row r="416" spans="36:39" ht="16.5" customHeight="1" x14ac:dyDescent="0.25">
      <c r="AJ416" t="s">
        <v>3</v>
      </c>
      <c r="AK416" t="s">
        <v>1</v>
      </c>
      <c r="AL416" t="s">
        <v>3</v>
      </c>
      <c r="AM416" t="s">
        <v>78</v>
      </c>
    </row>
    <row r="417" spans="36:39" ht="16.5" customHeight="1" x14ac:dyDescent="0.25">
      <c r="AJ417" t="s">
        <v>3</v>
      </c>
      <c r="AK417" t="s">
        <v>1</v>
      </c>
      <c r="AL417" t="s">
        <v>3</v>
      </c>
      <c r="AM417" t="s">
        <v>78</v>
      </c>
    </row>
    <row r="418" spans="36:39" ht="16.5" customHeight="1" x14ac:dyDescent="0.25">
      <c r="AJ418" t="s">
        <v>1</v>
      </c>
      <c r="AK418" t="s">
        <v>1</v>
      </c>
      <c r="AL418" t="s">
        <v>3</v>
      </c>
      <c r="AM418" t="s">
        <v>78</v>
      </c>
    </row>
    <row r="419" spans="36:39" ht="16.5" customHeight="1" x14ac:dyDescent="0.25">
      <c r="AJ419" t="s">
        <v>3</v>
      </c>
      <c r="AK419" t="s">
        <v>3</v>
      </c>
      <c r="AL419" t="s">
        <v>3</v>
      </c>
      <c r="AM419" t="s">
        <v>78</v>
      </c>
    </row>
    <row r="420" spans="36:39" ht="16.5" customHeight="1" x14ac:dyDescent="0.25">
      <c r="AJ420" t="s">
        <v>3</v>
      </c>
      <c r="AK420" t="s">
        <v>3</v>
      </c>
      <c r="AL420" t="s">
        <v>3</v>
      </c>
      <c r="AM420" t="s">
        <v>135</v>
      </c>
    </row>
    <row r="421" spans="36:39" ht="16.5" customHeight="1" x14ac:dyDescent="0.25">
      <c r="AJ421" t="s">
        <v>3</v>
      </c>
      <c r="AK421" t="s">
        <v>3</v>
      </c>
      <c r="AL421" t="s">
        <v>3</v>
      </c>
      <c r="AM421" t="s">
        <v>160</v>
      </c>
    </row>
    <row r="422" spans="36:39" ht="16.5" customHeight="1" x14ac:dyDescent="0.25">
      <c r="AJ422" t="s">
        <v>1</v>
      </c>
      <c r="AK422" t="s">
        <v>3</v>
      </c>
      <c r="AL422" t="s">
        <v>3</v>
      </c>
    </row>
    <row r="423" spans="36:39" ht="16.5" customHeight="1" x14ac:dyDescent="0.25">
      <c r="AJ423" t="s">
        <v>3</v>
      </c>
      <c r="AK423" t="s">
        <v>3</v>
      </c>
      <c r="AL423" t="s">
        <v>3</v>
      </c>
      <c r="AM423" t="s">
        <v>78</v>
      </c>
    </row>
    <row r="424" spans="36:39" ht="16.5" customHeight="1" x14ac:dyDescent="0.25">
      <c r="AJ424" t="s">
        <v>3</v>
      </c>
      <c r="AK424" t="s">
        <v>3</v>
      </c>
      <c r="AL424" t="s">
        <v>3</v>
      </c>
      <c r="AM424" t="s">
        <v>78</v>
      </c>
    </row>
    <row r="425" spans="36:39" ht="16.5" customHeight="1" x14ac:dyDescent="0.25">
      <c r="AJ425" t="s">
        <v>3</v>
      </c>
      <c r="AK425" t="s">
        <v>3</v>
      </c>
      <c r="AL425" t="s">
        <v>3</v>
      </c>
      <c r="AM425" t="s">
        <v>78</v>
      </c>
    </row>
    <row r="426" spans="36:39" ht="16.5" customHeight="1" x14ac:dyDescent="0.25">
      <c r="AJ426" t="s">
        <v>3</v>
      </c>
      <c r="AK426" t="s">
        <v>3</v>
      </c>
      <c r="AL426" t="s">
        <v>3</v>
      </c>
      <c r="AM426" t="s">
        <v>153</v>
      </c>
    </row>
    <row r="427" spans="36:39" ht="16.5" customHeight="1" x14ac:dyDescent="0.25">
      <c r="AJ427" t="s">
        <v>3</v>
      </c>
      <c r="AK427" t="s">
        <v>3</v>
      </c>
      <c r="AL427" t="s">
        <v>3</v>
      </c>
      <c r="AM427" t="s">
        <v>144</v>
      </c>
    </row>
    <row r="428" spans="36:39" ht="16.5" customHeight="1" x14ac:dyDescent="0.25">
      <c r="AJ428" t="s">
        <v>3</v>
      </c>
      <c r="AK428" t="s">
        <v>3</v>
      </c>
      <c r="AL428" t="s">
        <v>3</v>
      </c>
      <c r="AM428" t="s">
        <v>78</v>
      </c>
    </row>
    <row r="429" spans="36:39" ht="16.5" customHeight="1" x14ac:dyDescent="0.25">
      <c r="AJ429" t="s">
        <v>3</v>
      </c>
      <c r="AK429" t="s">
        <v>3</v>
      </c>
      <c r="AL429" t="s">
        <v>3</v>
      </c>
      <c r="AM429" t="s">
        <v>78</v>
      </c>
    </row>
    <row r="430" spans="36:39" ht="16.5" customHeight="1" x14ac:dyDescent="0.25">
      <c r="AJ430" t="s">
        <v>3</v>
      </c>
      <c r="AK430" t="s">
        <v>3</v>
      </c>
      <c r="AL430" t="s">
        <v>3</v>
      </c>
      <c r="AM430" t="s">
        <v>78</v>
      </c>
    </row>
    <row r="431" spans="36:39" ht="16.5" customHeight="1" x14ac:dyDescent="0.25">
      <c r="AJ431" t="s">
        <v>1</v>
      </c>
      <c r="AK431" t="s">
        <v>3</v>
      </c>
      <c r="AL431" t="s">
        <v>3</v>
      </c>
      <c r="AM431" t="s">
        <v>78</v>
      </c>
    </row>
    <row r="432" spans="36:39" ht="16.5" customHeight="1" x14ac:dyDescent="0.25">
      <c r="AJ432" t="s">
        <v>3</v>
      </c>
      <c r="AK432" t="s">
        <v>3</v>
      </c>
      <c r="AL432" t="s">
        <v>3</v>
      </c>
      <c r="AM432" t="s">
        <v>78</v>
      </c>
    </row>
    <row r="433" spans="36:39" ht="16.5" customHeight="1" x14ac:dyDescent="0.25">
      <c r="AJ433" t="s">
        <v>3</v>
      </c>
      <c r="AK433" t="s">
        <v>3</v>
      </c>
      <c r="AL433" t="s">
        <v>3</v>
      </c>
      <c r="AM433" t="s">
        <v>78</v>
      </c>
    </row>
    <row r="434" spans="36:39" ht="16.5" customHeight="1" x14ac:dyDescent="0.25">
      <c r="AJ434" t="s">
        <v>3</v>
      </c>
      <c r="AK434" t="s">
        <v>3</v>
      </c>
      <c r="AL434" t="s">
        <v>3</v>
      </c>
      <c r="AM434" t="s">
        <v>143</v>
      </c>
    </row>
    <row r="435" spans="36:39" ht="16.5" customHeight="1" x14ac:dyDescent="0.25">
      <c r="AJ435" t="s">
        <v>3</v>
      </c>
      <c r="AK435" t="s">
        <v>3</v>
      </c>
      <c r="AL435" t="s">
        <v>3</v>
      </c>
      <c r="AM435" t="s">
        <v>78</v>
      </c>
    </row>
    <row r="436" spans="36:39" ht="16.5" customHeight="1" x14ac:dyDescent="0.25">
      <c r="AJ436" t="s">
        <v>3</v>
      </c>
      <c r="AK436" t="s">
        <v>3</v>
      </c>
      <c r="AL436" t="s">
        <v>3</v>
      </c>
      <c r="AM436" t="s">
        <v>143</v>
      </c>
    </row>
    <row r="437" spans="36:39" ht="16.5" customHeight="1" x14ac:dyDescent="0.25">
      <c r="AJ437" t="s">
        <v>3</v>
      </c>
      <c r="AK437" t="s">
        <v>3</v>
      </c>
      <c r="AL437" t="s">
        <v>3</v>
      </c>
      <c r="AM437" t="s">
        <v>78</v>
      </c>
    </row>
    <row r="438" spans="36:39" ht="16.5" customHeight="1" x14ac:dyDescent="0.25">
      <c r="AJ438" t="s">
        <v>3</v>
      </c>
      <c r="AK438" t="s">
        <v>3</v>
      </c>
      <c r="AL438" t="s">
        <v>3</v>
      </c>
      <c r="AM438" t="s">
        <v>146</v>
      </c>
    </row>
    <row r="439" spans="36:39" ht="16.5" customHeight="1" x14ac:dyDescent="0.25">
      <c r="AJ439" t="s">
        <v>3</v>
      </c>
      <c r="AK439" t="s">
        <v>3</v>
      </c>
      <c r="AL439" t="s">
        <v>3</v>
      </c>
      <c r="AM439" t="s">
        <v>143</v>
      </c>
    </row>
    <row r="440" spans="36:39" ht="16.5" customHeight="1" x14ac:dyDescent="0.25">
      <c r="AJ440" t="s">
        <v>3</v>
      </c>
      <c r="AK440" t="s">
        <v>3</v>
      </c>
      <c r="AL440" t="s">
        <v>3</v>
      </c>
      <c r="AM440" t="s">
        <v>129</v>
      </c>
    </row>
    <row r="441" spans="36:39" ht="16.5" customHeight="1" x14ac:dyDescent="0.25">
      <c r="AJ441" t="s">
        <v>3</v>
      </c>
      <c r="AK441" t="s">
        <v>3</v>
      </c>
      <c r="AL441" t="s">
        <v>3</v>
      </c>
      <c r="AM441" t="s">
        <v>90</v>
      </c>
    </row>
    <row r="442" spans="36:39" ht="16.5" customHeight="1" x14ac:dyDescent="0.25">
      <c r="AJ442" t="s">
        <v>3</v>
      </c>
      <c r="AK442" t="s">
        <v>3</v>
      </c>
      <c r="AL442" t="s">
        <v>3</v>
      </c>
      <c r="AM442" t="s">
        <v>78</v>
      </c>
    </row>
    <row r="443" spans="36:39" ht="16.5" customHeight="1" x14ac:dyDescent="0.25">
      <c r="AJ443" t="s">
        <v>3</v>
      </c>
      <c r="AK443" t="s">
        <v>3</v>
      </c>
      <c r="AL443" t="s">
        <v>3</v>
      </c>
      <c r="AM443" t="s">
        <v>78</v>
      </c>
    </row>
    <row r="444" spans="36:39" ht="16.5" customHeight="1" x14ac:dyDescent="0.25">
      <c r="AJ444" t="s">
        <v>3</v>
      </c>
      <c r="AK444" t="s">
        <v>1</v>
      </c>
      <c r="AL444" t="s">
        <v>3</v>
      </c>
      <c r="AM444" t="s">
        <v>78</v>
      </c>
    </row>
    <row r="445" spans="36:39" ht="16.5" customHeight="1" x14ac:dyDescent="0.25">
      <c r="AJ445" t="s">
        <v>3</v>
      </c>
      <c r="AK445" t="s">
        <v>1</v>
      </c>
      <c r="AL445" t="s">
        <v>3</v>
      </c>
      <c r="AM445" t="s">
        <v>78</v>
      </c>
    </row>
    <row r="446" spans="36:39" ht="16.5" customHeight="1" x14ac:dyDescent="0.25">
      <c r="AJ446" t="s">
        <v>3</v>
      </c>
      <c r="AK446" t="s">
        <v>1</v>
      </c>
      <c r="AL446" t="s">
        <v>3</v>
      </c>
      <c r="AM446" t="s">
        <v>78</v>
      </c>
    </row>
    <row r="447" spans="36:39" ht="16.5" customHeight="1" x14ac:dyDescent="0.25">
      <c r="AJ447" t="s">
        <v>3</v>
      </c>
      <c r="AK447" t="s">
        <v>1</v>
      </c>
      <c r="AL447" t="s">
        <v>3</v>
      </c>
      <c r="AM447" t="s">
        <v>78</v>
      </c>
    </row>
    <row r="448" spans="36:39" ht="16.5" customHeight="1" x14ac:dyDescent="0.25">
      <c r="AJ448" t="s">
        <v>1</v>
      </c>
      <c r="AK448" t="s">
        <v>1</v>
      </c>
      <c r="AL448" t="s">
        <v>3</v>
      </c>
      <c r="AM448" t="s">
        <v>78</v>
      </c>
    </row>
    <row r="449" spans="36:39" ht="16.5" customHeight="1" x14ac:dyDescent="0.25">
      <c r="AJ449" t="s">
        <v>3</v>
      </c>
      <c r="AK449" t="s">
        <v>3</v>
      </c>
      <c r="AL449" t="s">
        <v>3</v>
      </c>
      <c r="AM449" t="s">
        <v>78</v>
      </c>
    </row>
    <row r="450" spans="36:39" ht="16.5" customHeight="1" x14ac:dyDescent="0.25">
      <c r="AJ450" t="s">
        <v>3</v>
      </c>
      <c r="AK450" t="s">
        <v>3</v>
      </c>
      <c r="AL450" t="s">
        <v>3</v>
      </c>
      <c r="AM450" t="s">
        <v>130</v>
      </c>
    </row>
    <row r="451" spans="36:39" ht="16.5" customHeight="1" x14ac:dyDescent="0.25">
      <c r="AJ451" t="s">
        <v>3</v>
      </c>
      <c r="AK451" t="s">
        <v>3</v>
      </c>
      <c r="AL451" t="s">
        <v>3</v>
      </c>
      <c r="AM451" t="s">
        <v>161</v>
      </c>
    </row>
    <row r="452" spans="36:39" ht="16.5" customHeight="1" x14ac:dyDescent="0.25">
      <c r="AJ452" t="s">
        <v>3</v>
      </c>
      <c r="AK452" t="s">
        <v>3</v>
      </c>
      <c r="AL452" t="s">
        <v>3</v>
      </c>
      <c r="AM452" t="s">
        <v>162</v>
      </c>
    </row>
    <row r="453" spans="36:39" ht="16.5" customHeight="1" x14ac:dyDescent="0.25">
      <c r="AJ453" t="s">
        <v>3</v>
      </c>
      <c r="AK453" t="s">
        <v>3</v>
      </c>
      <c r="AL453" t="s">
        <v>3</v>
      </c>
      <c r="AM453" t="s">
        <v>78</v>
      </c>
    </row>
    <row r="454" spans="36:39" ht="16.5" customHeight="1" x14ac:dyDescent="0.25">
      <c r="AJ454" t="s">
        <v>3</v>
      </c>
      <c r="AK454" t="s">
        <v>3</v>
      </c>
      <c r="AL454" t="s">
        <v>3</v>
      </c>
      <c r="AM454" t="s">
        <v>163</v>
      </c>
    </row>
    <row r="455" spans="36:39" ht="16.5" customHeight="1" x14ac:dyDescent="0.25">
      <c r="AJ455" t="s">
        <v>3</v>
      </c>
      <c r="AK455" t="s">
        <v>3</v>
      </c>
      <c r="AL455" t="s">
        <v>1</v>
      </c>
      <c r="AM455" t="s">
        <v>79</v>
      </c>
    </row>
    <row r="456" spans="36:39" ht="16.5" customHeight="1" x14ac:dyDescent="0.25">
      <c r="AJ456" t="s">
        <v>3</v>
      </c>
      <c r="AK456" t="s">
        <v>3</v>
      </c>
      <c r="AL456" t="s">
        <v>1</v>
      </c>
      <c r="AM456" t="s">
        <v>78</v>
      </c>
    </row>
    <row r="457" spans="36:39" ht="16.5" customHeight="1" x14ac:dyDescent="0.25">
      <c r="AJ457" t="s">
        <v>3</v>
      </c>
      <c r="AK457" t="s">
        <v>3</v>
      </c>
      <c r="AL457" t="s">
        <v>3</v>
      </c>
      <c r="AM457" t="s">
        <v>164</v>
      </c>
    </row>
    <row r="458" spans="36:39" ht="16.5" customHeight="1" x14ac:dyDescent="0.25">
      <c r="AJ458" t="s">
        <v>3</v>
      </c>
      <c r="AK458" t="s">
        <v>3</v>
      </c>
      <c r="AL458" t="s">
        <v>3</v>
      </c>
      <c r="AM458" t="s">
        <v>84</v>
      </c>
    </row>
    <row r="459" spans="36:39" ht="16.5" customHeight="1" x14ac:dyDescent="0.25">
      <c r="AJ459" t="s">
        <v>3</v>
      </c>
      <c r="AK459" t="s">
        <v>3</v>
      </c>
      <c r="AL459" t="s">
        <v>3</v>
      </c>
      <c r="AM459" t="s">
        <v>80</v>
      </c>
    </row>
    <row r="460" spans="36:39" ht="16.5" customHeight="1" x14ac:dyDescent="0.25">
      <c r="AJ460" t="s">
        <v>3</v>
      </c>
      <c r="AK460" t="s">
        <v>3</v>
      </c>
      <c r="AL460" t="s">
        <v>3</v>
      </c>
      <c r="AM460" t="s">
        <v>165</v>
      </c>
    </row>
    <row r="461" spans="36:39" ht="16.5" customHeight="1" x14ac:dyDescent="0.25">
      <c r="AJ461" t="s">
        <v>3</v>
      </c>
      <c r="AK461" t="s">
        <v>3</v>
      </c>
      <c r="AL461" t="s">
        <v>3</v>
      </c>
      <c r="AM461" t="s">
        <v>166</v>
      </c>
    </row>
    <row r="462" spans="36:39" ht="16.5" customHeight="1" x14ac:dyDescent="0.25">
      <c r="AJ462" t="s">
        <v>3</v>
      </c>
      <c r="AK462" t="s">
        <v>3</v>
      </c>
      <c r="AL462" t="s">
        <v>3</v>
      </c>
      <c r="AM462" t="s">
        <v>164</v>
      </c>
    </row>
    <row r="463" spans="36:39" ht="16.5" customHeight="1" x14ac:dyDescent="0.25">
      <c r="AJ463" t="s">
        <v>3</v>
      </c>
      <c r="AK463" t="s">
        <v>3</v>
      </c>
      <c r="AL463" t="s">
        <v>3</v>
      </c>
      <c r="AM463" t="s">
        <v>78</v>
      </c>
    </row>
    <row r="464" spans="36:39" ht="16.5" customHeight="1" x14ac:dyDescent="0.25">
      <c r="AJ464" t="s">
        <v>3</v>
      </c>
      <c r="AK464" t="s">
        <v>3</v>
      </c>
      <c r="AL464" t="s">
        <v>3</v>
      </c>
      <c r="AM464" t="s">
        <v>85</v>
      </c>
    </row>
    <row r="465" spans="36:39" ht="16.5" customHeight="1" x14ac:dyDescent="0.25">
      <c r="AJ465" t="s">
        <v>3</v>
      </c>
      <c r="AK465" t="s">
        <v>3</v>
      </c>
      <c r="AL465" t="s">
        <v>3</v>
      </c>
      <c r="AM465" t="s">
        <v>79</v>
      </c>
    </row>
    <row r="466" spans="36:39" ht="16.5" customHeight="1" x14ac:dyDescent="0.25">
      <c r="AJ466" t="s">
        <v>3</v>
      </c>
      <c r="AK466" t="s">
        <v>3</v>
      </c>
      <c r="AL466" t="s">
        <v>3</v>
      </c>
      <c r="AM466" t="s">
        <v>78</v>
      </c>
    </row>
    <row r="467" spans="36:39" ht="16.5" customHeight="1" x14ac:dyDescent="0.25">
      <c r="AJ467" t="s">
        <v>3</v>
      </c>
      <c r="AK467" t="s">
        <v>3</v>
      </c>
      <c r="AL467" t="s">
        <v>3</v>
      </c>
      <c r="AM467" t="s">
        <v>82</v>
      </c>
    </row>
    <row r="468" spans="36:39" ht="16.5" customHeight="1" x14ac:dyDescent="0.25">
      <c r="AJ468" t="s">
        <v>3</v>
      </c>
      <c r="AK468" t="s">
        <v>3</v>
      </c>
      <c r="AL468" t="s">
        <v>3</v>
      </c>
      <c r="AM468" t="s">
        <v>84</v>
      </c>
    </row>
    <row r="469" spans="36:39" ht="16.5" customHeight="1" x14ac:dyDescent="0.25">
      <c r="AJ469" t="s">
        <v>3</v>
      </c>
      <c r="AK469" t="s">
        <v>3</v>
      </c>
      <c r="AL469" t="s">
        <v>3</v>
      </c>
      <c r="AM469" t="s">
        <v>80</v>
      </c>
    </row>
    <row r="470" spans="36:39" ht="16.5" customHeight="1" x14ac:dyDescent="0.25">
      <c r="AJ470" t="s">
        <v>3</v>
      </c>
      <c r="AK470" t="s">
        <v>3</v>
      </c>
      <c r="AL470" t="s">
        <v>3</v>
      </c>
      <c r="AM470" t="s">
        <v>83</v>
      </c>
    </row>
    <row r="471" spans="36:39" ht="16.5" customHeight="1" x14ac:dyDescent="0.25">
      <c r="AJ471" t="s">
        <v>3</v>
      </c>
      <c r="AK471" t="s">
        <v>3</v>
      </c>
      <c r="AL471" t="s">
        <v>3</v>
      </c>
      <c r="AM471" t="s">
        <v>81</v>
      </c>
    </row>
    <row r="472" spans="36:39" ht="16.5" customHeight="1" x14ac:dyDescent="0.25">
      <c r="AJ472" t="s">
        <v>3</v>
      </c>
      <c r="AK472" t="s">
        <v>3</v>
      </c>
      <c r="AL472" t="s">
        <v>3</v>
      </c>
      <c r="AM472" t="s">
        <v>82</v>
      </c>
    </row>
    <row r="473" spans="36:39" ht="16.5" customHeight="1" x14ac:dyDescent="0.25">
      <c r="AJ473" t="s">
        <v>3</v>
      </c>
      <c r="AK473" t="s">
        <v>3</v>
      </c>
      <c r="AL473" t="s">
        <v>3</v>
      </c>
      <c r="AM473" t="s">
        <v>78</v>
      </c>
    </row>
    <row r="474" spans="36:39" ht="16.5" customHeight="1" x14ac:dyDescent="0.25">
      <c r="AJ474" t="s">
        <v>3</v>
      </c>
      <c r="AK474" t="s">
        <v>3</v>
      </c>
      <c r="AL474" t="s">
        <v>3</v>
      </c>
      <c r="AM474" t="s">
        <v>74</v>
      </c>
    </row>
    <row r="475" spans="36:39" ht="16.5" customHeight="1" x14ac:dyDescent="0.25">
      <c r="AJ475" t="s">
        <v>3</v>
      </c>
      <c r="AK475" t="s">
        <v>3</v>
      </c>
      <c r="AL475" t="s">
        <v>3</v>
      </c>
      <c r="AM475" t="s">
        <v>74</v>
      </c>
    </row>
    <row r="476" spans="36:39" ht="16.5" customHeight="1" x14ac:dyDescent="0.25">
      <c r="AJ476" t="s">
        <v>3</v>
      </c>
      <c r="AK476" t="s">
        <v>3</v>
      </c>
      <c r="AL476" t="s">
        <v>3</v>
      </c>
      <c r="AM476" t="s">
        <v>74</v>
      </c>
    </row>
    <row r="477" spans="36:39" ht="16.5" customHeight="1" x14ac:dyDescent="0.25">
      <c r="AJ477" t="s">
        <v>3</v>
      </c>
      <c r="AK477" t="s">
        <v>3</v>
      </c>
      <c r="AL477" t="s">
        <v>3</v>
      </c>
      <c r="AM477" t="s">
        <v>74</v>
      </c>
    </row>
    <row r="478" spans="36:39" ht="16.5" customHeight="1" x14ac:dyDescent="0.25">
      <c r="AJ478" t="s">
        <v>3</v>
      </c>
      <c r="AK478" t="s">
        <v>3</v>
      </c>
      <c r="AL478" t="s">
        <v>3</v>
      </c>
      <c r="AM478" t="s">
        <v>74</v>
      </c>
    </row>
    <row r="479" spans="36:39" ht="16.5" customHeight="1" x14ac:dyDescent="0.25">
      <c r="AJ479" t="s">
        <v>3</v>
      </c>
      <c r="AK479" t="s">
        <v>3</v>
      </c>
      <c r="AL479" t="s">
        <v>3</v>
      </c>
      <c r="AM479" t="s">
        <v>74</v>
      </c>
    </row>
    <row r="480" spans="36:39" ht="16.5" customHeight="1" x14ac:dyDescent="0.25">
      <c r="AJ480" t="s">
        <v>3</v>
      </c>
      <c r="AK480" t="s">
        <v>3</v>
      </c>
      <c r="AL480" t="s">
        <v>3</v>
      </c>
      <c r="AM480" t="s">
        <v>74</v>
      </c>
    </row>
    <row r="481" spans="36:39" ht="16.5" customHeight="1" x14ac:dyDescent="0.25">
      <c r="AJ481" t="s">
        <v>3</v>
      </c>
      <c r="AK481" t="s">
        <v>3</v>
      </c>
      <c r="AL481" t="s">
        <v>3</v>
      </c>
      <c r="AM481" t="s">
        <v>74</v>
      </c>
    </row>
    <row r="482" spans="36:39" ht="16.5" customHeight="1" x14ac:dyDescent="0.25">
      <c r="AJ482" t="s">
        <v>3</v>
      </c>
      <c r="AK482" t="s">
        <v>3</v>
      </c>
      <c r="AL482" t="s">
        <v>3</v>
      </c>
      <c r="AM482" t="s">
        <v>74</v>
      </c>
    </row>
  </sheetData>
  <sheetProtection algorithmName="SHA-512" hashValue="CB9il6z5ZIgGKOEiY/3teBu4dJPZIdUr12A9WS5cUETZA1WbczL3geUGPdEFBAvo4CYeOoyP2lZkbEX4qTERTA==" saltValue="4pM1UWAANoXMIc4RKYLPwA==" spinCount="100000" sheet="1" objects="1" scenarios="1" autoFilter="0"/>
  <dataConsolidate/>
  <phoneticPr fontId="7" type="noConversion"/>
  <dataValidations count="1">
    <dataValidation type="list" allowBlank="1" showInputMessage="1" showErrorMessage="1" errorTitle="Invalid value" error="Only values Y or N are allowed." promptTitle="Select a value" prompt="Please select a value from the list." sqref="U5:W5" xr:uid="{589C916D-6493-4A06-8C7B-F8D82D8478C0}">
      <formula1>"Y,N"</formula1>
    </dataValidation>
  </dataValidations>
  <pageMargins left="0.7" right="0.7" top="0.75" bottom="0.75" header="0.3" footer="0.3"/>
  <pageSetup paperSize="9" orientation="portrait" r:id="rId1"/>
  <headerFooter>
    <oddFooter>&amp;L_x000D_&amp;1#&amp;"Calibri"&amp;10&amp;K000000 Classification : Private\FAB Staff Personal Data</oddFooter>
  </headerFooter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48768-8BCF-4C41-8D9E-5052A10C105A}">
  <sheetPr codeName="sh08"/>
  <dimension ref="A1:L7"/>
  <sheetViews>
    <sheetView showGridLines="0" topLeftCell="C1" zoomScaleNormal="100" workbookViewId="0">
      <pane ySplit="4" topLeftCell="A5" activePane="bottomLeft" state="frozen"/>
      <selection pane="bottomLeft" activeCell="H4" sqref="H4"/>
    </sheetView>
  </sheetViews>
  <sheetFormatPr defaultColWidth="0" defaultRowHeight="16.5" customHeight="1" x14ac:dyDescent="0.25"/>
  <cols>
    <col min="1" max="1" width="17.85546875" hidden="1" customWidth="1"/>
    <col min="2" max="2" width="14.28515625" hidden="1" customWidth="1"/>
    <col min="3" max="3" width="3.28515625" customWidth="1"/>
    <col min="4" max="6" width="4" hidden="1" customWidth="1"/>
    <col min="7" max="7" width="12.140625" hidden="1" customWidth="1"/>
    <col min="8" max="8" width="25.42578125" customWidth="1"/>
    <col min="9" max="9" width="42.42578125" customWidth="1"/>
    <col min="10" max="10" width="83" customWidth="1"/>
    <col min="11" max="11" width="23.28515625" bestFit="1" customWidth="1"/>
    <col min="12" max="12" width="20.5703125" customWidth="1"/>
    <col min="13" max="16384" width="12.140625" hidden="1"/>
  </cols>
  <sheetData>
    <row r="1" spans="1:12" ht="64.5" customHeight="1" x14ac:dyDescent="0.25">
      <c r="A1" s="16" t="s">
        <v>32</v>
      </c>
      <c r="B1" s="18">
        <v>5</v>
      </c>
      <c r="C1" s="15"/>
      <c r="D1" s="7"/>
      <c r="E1" s="7"/>
      <c r="F1" s="8"/>
      <c r="G1" s="2" t="s">
        <v>26</v>
      </c>
      <c r="H1" s="2"/>
      <c r="I1" s="2"/>
      <c r="J1" s="28"/>
    </row>
    <row r="2" spans="1:12" ht="1.5" customHeight="1" x14ac:dyDescent="0.25">
      <c r="A2" s="16" t="s">
        <v>33</v>
      </c>
      <c r="B2" s="18">
        <v>0</v>
      </c>
      <c r="C2" s="9"/>
      <c r="D2" s="4"/>
      <c r="E2" s="4"/>
      <c r="F2" s="4"/>
      <c r="G2" s="4"/>
      <c r="H2" s="4"/>
      <c r="I2" s="5"/>
      <c r="J2" s="1"/>
      <c r="K2" s="1"/>
      <c r="L2" s="1"/>
    </row>
    <row r="3" spans="1:12" ht="5.25" customHeight="1" thickBot="1" x14ac:dyDescent="0.3">
      <c r="A3" s="16" t="s">
        <v>29</v>
      </c>
      <c r="B3" s="18">
        <v>11</v>
      </c>
      <c r="C3" s="10"/>
    </row>
    <row r="4" spans="1:12" ht="21" customHeight="1" thickBot="1" x14ac:dyDescent="0.3">
      <c r="A4" s="16" t="s">
        <v>30</v>
      </c>
      <c r="B4" s="18"/>
      <c r="D4" s="23" t="s">
        <v>22</v>
      </c>
      <c r="E4" s="24" t="s">
        <v>16</v>
      </c>
      <c r="F4" s="24" t="s">
        <v>23</v>
      </c>
      <c r="G4" s="21" t="s">
        <v>2</v>
      </c>
      <c r="H4" s="21" t="s">
        <v>37</v>
      </c>
      <c r="I4" s="21" t="s">
        <v>49</v>
      </c>
      <c r="J4" s="21" t="s">
        <v>50</v>
      </c>
      <c r="K4" s="42" t="s">
        <v>69</v>
      </c>
      <c r="L4" s="42" t="s">
        <v>67</v>
      </c>
    </row>
    <row r="5" spans="1:12" ht="16.5" customHeight="1" x14ac:dyDescent="0.25">
      <c r="A5" s="16" t="s">
        <v>27</v>
      </c>
      <c r="B5" s="18"/>
      <c r="D5" s="27"/>
      <c r="E5" s="27"/>
      <c r="F5" s="27"/>
      <c r="G5" s="27"/>
      <c r="H5" s="27"/>
      <c r="I5" s="27"/>
      <c r="J5" s="27"/>
      <c r="K5" s="27"/>
      <c r="L5" s="27"/>
    </row>
    <row r="6" spans="1:12" ht="16.5" customHeight="1" x14ac:dyDescent="0.25">
      <c r="A6" s="16" t="s">
        <v>28</v>
      </c>
      <c r="B6" s="18"/>
    </row>
    <row r="7" spans="1:12" ht="16.5" customHeight="1" x14ac:dyDescent="0.25">
      <c r="A7" s="16" t="s">
        <v>31</v>
      </c>
      <c r="B7" s="19">
        <f>COUNTIFS(tblRunData[ACTION],"A")+COUNTIFS(tblRunData[ACTION],"M")</f>
        <v>0</v>
      </c>
    </row>
  </sheetData>
  <sheetProtection algorithmName="SHA-512" hashValue="si+MkEpe1PDqckcn3fx3wC1Q/AV8UPnnrq9HL263ssVNMO3M/JmkcFDpjhJPvh7M2qxnpnNJwDfxSNYQlPw61g==" saltValue="FpisfWG3CyMs3ltAJL03wg==" spinCount="100000" sheet="1" objects="1" scenarios="1" autoFilter="0"/>
  <dataConsolidate/>
  <phoneticPr fontId="7" type="noConversion"/>
  <pageMargins left="0.7" right="0.7" top="0.75" bottom="0.75" header="0.3" footer="0.3"/>
  <pageSetup paperSize="9" orientation="portrait" r:id="rId1"/>
  <headerFooter>
    <oddFooter>&amp;L_x000D_&amp;1#&amp;"Calibri"&amp;10&amp;K000000 Classification : Private\FAB Staff Personal Data</oddFooter>
  </headerFooter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90D784-27CF-4FA2-BCBB-8294E8E6AD28}">
  <sheetPr codeName="sh13"/>
  <dimension ref="A1:P7"/>
  <sheetViews>
    <sheetView showGridLines="0" tabSelected="1" topLeftCell="C1" zoomScaleNormal="100" workbookViewId="0">
      <pane ySplit="4" topLeftCell="A5" activePane="bottomLeft" state="frozen"/>
      <selection pane="bottomLeft" activeCell="E4" sqref="E4"/>
    </sheetView>
  </sheetViews>
  <sheetFormatPr defaultColWidth="12.140625" defaultRowHeight="16.5" customHeight="1" x14ac:dyDescent="0.25"/>
  <cols>
    <col min="1" max="1" width="17.85546875" hidden="1" customWidth="1"/>
    <col min="2" max="2" width="14.28515625" hidden="1" customWidth="1"/>
    <col min="3" max="3" width="3.28515625" customWidth="1"/>
    <col min="4" max="6" width="4" customWidth="1"/>
    <col min="7" max="7" width="12.140625" hidden="1" customWidth="1"/>
    <col min="8" max="8" width="15.5703125" hidden="1" customWidth="1"/>
    <col min="9" max="9" width="30.140625" customWidth="1"/>
    <col min="10" max="10" width="42.140625" customWidth="1"/>
    <col min="11" max="11" width="30.85546875" customWidth="1"/>
    <col min="12" max="12" width="25.28515625" customWidth="1"/>
    <col min="13" max="13" width="27.7109375" customWidth="1"/>
    <col min="14" max="14" width="18" customWidth="1"/>
    <col min="15" max="15" width="15.140625" customWidth="1"/>
  </cols>
  <sheetData>
    <row r="1" spans="1:16" ht="64.5" customHeight="1" x14ac:dyDescent="0.25">
      <c r="A1" s="16" t="s">
        <v>32</v>
      </c>
      <c r="B1" s="18">
        <v>5</v>
      </c>
      <c r="C1" s="15"/>
      <c r="D1" s="7"/>
      <c r="E1" s="7"/>
      <c r="F1" s="8"/>
      <c r="G1" s="2" t="s">
        <v>26</v>
      </c>
      <c r="H1" s="2"/>
      <c r="I1" s="2"/>
      <c r="M1" s="28"/>
    </row>
    <row r="2" spans="1:16" ht="1.5" customHeight="1" x14ac:dyDescent="0.25">
      <c r="A2" s="16" t="s">
        <v>33</v>
      </c>
      <c r="B2" s="18">
        <v>0</v>
      </c>
      <c r="C2" s="9"/>
      <c r="D2" s="4"/>
      <c r="E2" s="4"/>
      <c r="F2" s="4"/>
      <c r="G2" s="4"/>
      <c r="H2" s="4"/>
      <c r="I2" s="5"/>
      <c r="J2" s="1"/>
      <c r="K2" s="1"/>
      <c r="L2" s="1"/>
      <c r="M2" s="1"/>
      <c r="N2" s="1"/>
      <c r="O2" s="1"/>
    </row>
    <row r="3" spans="1:16" ht="5.25" customHeight="1" thickBot="1" x14ac:dyDescent="0.3">
      <c r="A3" s="16" t="s">
        <v>29</v>
      </c>
      <c r="B3" s="18">
        <v>1</v>
      </c>
      <c r="C3" s="10"/>
    </row>
    <row r="4" spans="1:16" ht="21" customHeight="1" thickBot="1" x14ac:dyDescent="0.3">
      <c r="A4" s="16" t="s">
        <v>30</v>
      </c>
      <c r="B4" s="18"/>
      <c r="D4" s="23" t="s">
        <v>22</v>
      </c>
      <c r="E4" s="24" t="s">
        <v>16</v>
      </c>
      <c r="F4" s="24" t="s">
        <v>23</v>
      </c>
      <c r="G4" s="21" t="s">
        <v>2</v>
      </c>
      <c r="H4" s="21" t="s">
        <v>66</v>
      </c>
      <c r="I4" s="21" t="s">
        <v>37</v>
      </c>
      <c r="J4" s="21" t="s">
        <v>64</v>
      </c>
      <c r="K4" s="39" t="s">
        <v>65</v>
      </c>
      <c r="L4" s="39" t="s">
        <v>73</v>
      </c>
      <c r="M4" s="39" t="s">
        <v>69</v>
      </c>
      <c r="N4" s="39" t="s">
        <v>67</v>
      </c>
      <c r="O4" s="39" t="s">
        <v>68</v>
      </c>
      <c r="P4" s="22"/>
    </row>
    <row r="5" spans="1:16" ht="16.5" customHeight="1" x14ac:dyDescent="0.25">
      <c r="A5" s="16" t="s">
        <v>27</v>
      </c>
      <c r="B5" s="18"/>
      <c r="D5" s="43"/>
      <c r="E5" s="43"/>
      <c r="F5" s="43"/>
      <c r="G5" s="43"/>
      <c r="H5" s="43"/>
      <c r="I5" s="44"/>
      <c r="J5" s="43"/>
      <c r="K5" s="43"/>
      <c r="L5" s="43"/>
      <c r="M5" s="43"/>
      <c r="N5" s="43"/>
      <c r="O5" s="43"/>
    </row>
    <row r="6" spans="1:16" ht="16.5" customHeight="1" x14ac:dyDescent="0.25">
      <c r="A6" s="16" t="s">
        <v>28</v>
      </c>
      <c r="B6" s="18"/>
    </row>
    <row r="7" spans="1:16" ht="16.5" customHeight="1" x14ac:dyDescent="0.25">
      <c r="A7" s="16" t="s">
        <v>31</v>
      </c>
      <c r="B7" s="19">
        <f>COUNTIFS(tblRunChart[ACTION],"A")+COUNTIFS(tblRunChart[ACTION],"M")</f>
        <v>0</v>
      </c>
    </row>
  </sheetData>
  <sheetProtection algorithmName="SHA-512" hashValue="8ZERdNzk7b7SZ9YQ0kJB0IlVQyfbw11KxkvJRfGT9LX9GiRIxQ8rhkmFWldwUMKT2RLyvsjL7irUj5ksiQiflQ==" saltValue="NADoLJEy0kWCbtXMVIAbWw==" spinCount="100000" sheet="1" objects="1" scenarios="1" autoFilter="0"/>
  <dataConsolidate/>
  <dataValidations count="2">
    <dataValidation type="list" allowBlank="1" showInputMessage="1" showErrorMessage="1" errorTitle="Invalid value" error="Please select value from the list" promptTitle="Select a value" prompt="Please select value from the list" sqref="O5" xr:uid="{627ED20D-8D15-458D-A8F0-268B59728317}">
      <formula1>"Y,N"</formula1>
    </dataValidation>
    <dataValidation type="list" allowBlank="1" showInputMessage="1" showErrorMessage="1" errorTitle="Invalid value" error="Please select value from the list" promptTitle="Select a value" prompt="Please select value from the list" sqref="N5" xr:uid="{52850297-AC57-4994-8066-8CF01CF954BB}">
      <formula1>"DATA_01,DATA_02"</formula1>
    </dataValidation>
  </dataValidations>
  <pageMargins left="0.7" right="0.7" top="0.75" bottom="0.75" header="0.3" footer="0.3"/>
  <pageSetup paperSize="9" orientation="portrait" r:id="rId1"/>
  <headerFooter>
    <oddFooter>&amp;L_x000D_&amp;1#&amp;"Calibri"&amp;10&amp;K000000 Classification : Private\FAB Staff Personal Data</oddFooter>
  </headerFooter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3E88E0-AE0A-469B-8D82-2BD8B1DB2394}">
  <sheetPr codeName="sh09"/>
  <dimension ref="A1:K7"/>
  <sheetViews>
    <sheetView showGridLines="0" topLeftCell="C1" zoomScaleNormal="100" workbookViewId="0">
      <pane ySplit="4" topLeftCell="A5" activePane="bottomLeft" state="frozen"/>
      <selection pane="bottomLeft" activeCell="E4" sqref="E4"/>
    </sheetView>
  </sheetViews>
  <sheetFormatPr defaultColWidth="0" defaultRowHeight="16.5" customHeight="1" x14ac:dyDescent="0.25"/>
  <cols>
    <col min="1" max="1" width="17.85546875" hidden="1" customWidth="1"/>
    <col min="2" max="2" width="14.28515625" hidden="1" customWidth="1"/>
    <col min="3" max="3" width="3.28515625" customWidth="1"/>
    <col min="4" max="6" width="4" customWidth="1"/>
    <col min="7" max="7" width="12.140625" hidden="1" customWidth="1"/>
    <col min="8" max="8" width="15.5703125" hidden="1" customWidth="1"/>
    <col min="9" max="9" width="30.140625" customWidth="1"/>
    <col min="10" max="10" width="96" customWidth="1"/>
    <col min="11" max="11" width="6.5703125" customWidth="1"/>
    <col min="12" max="16384" width="12.140625" hidden="1"/>
  </cols>
  <sheetData>
    <row r="1" spans="1:11" ht="64.5" customHeight="1" x14ac:dyDescent="0.25">
      <c r="A1" s="16" t="s">
        <v>32</v>
      </c>
      <c r="B1" s="18">
        <v>5</v>
      </c>
      <c r="C1" s="15"/>
      <c r="D1" s="7"/>
      <c r="E1" s="7"/>
      <c r="F1" s="8"/>
      <c r="G1" s="2" t="s">
        <v>26</v>
      </c>
      <c r="H1" s="2"/>
      <c r="I1" s="2"/>
      <c r="J1" s="28" t="str">
        <f>IF($B$7&gt;0,"Data not saved","")</f>
        <v/>
      </c>
    </row>
    <row r="2" spans="1:11" ht="1.5" customHeight="1" x14ac:dyDescent="0.25">
      <c r="A2" s="16" t="s">
        <v>33</v>
      </c>
      <c r="B2" s="18">
        <v>0</v>
      </c>
      <c r="C2" s="9"/>
      <c r="D2" s="4"/>
      <c r="E2" s="4"/>
      <c r="F2" s="4"/>
      <c r="G2" s="4"/>
      <c r="H2" s="4"/>
      <c r="I2" s="5"/>
      <c r="J2" s="1"/>
      <c r="K2" s="1"/>
    </row>
    <row r="3" spans="1:11" ht="5.25" customHeight="1" thickBot="1" x14ac:dyDescent="0.3">
      <c r="A3" s="16" t="s">
        <v>29</v>
      </c>
      <c r="B3" s="18">
        <v>3</v>
      </c>
      <c r="C3" s="10"/>
    </row>
    <row r="4" spans="1:11" ht="21" customHeight="1" thickBot="1" x14ac:dyDescent="0.3">
      <c r="A4" s="16" t="s">
        <v>30</v>
      </c>
      <c r="B4" s="18"/>
      <c r="D4" s="23" t="s">
        <v>22</v>
      </c>
      <c r="E4" s="24" t="s">
        <v>16</v>
      </c>
      <c r="F4" s="24" t="s">
        <v>23</v>
      </c>
      <c r="G4" s="21" t="s">
        <v>2</v>
      </c>
      <c r="H4" s="21" t="s">
        <v>51</v>
      </c>
      <c r="I4" s="21" t="s">
        <v>49</v>
      </c>
      <c r="J4" s="21" t="s">
        <v>50</v>
      </c>
      <c r="K4" s="22"/>
    </row>
    <row r="5" spans="1:11" ht="16.5" customHeight="1" x14ac:dyDescent="0.25">
      <c r="A5" s="16" t="s">
        <v>27</v>
      </c>
      <c r="B5" s="18"/>
      <c r="D5" s="27"/>
      <c r="E5" s="27"/>
      <c r="F5" s="27"/>
      <c r="G5" s="27"/>
      <c r="H5" s="27"/>
      <c r="I5" s="27"/>
      <c r="J5" s="27"/>
    </row>
    <row r="6" spans="1:11" ht="16.5" customHeight="1" x14ac:dyDescent="0.25">
      <c r="A6" s="16" t="s">
        <v>28</v>
      </c>
      <c r="B6" s="18"/>
    </row>
    <row r="7" spans="1:11" ht="16.5" customHeight="1" x14ac:dyDescent="0.25">
      <c r="A7" s="16" t="s">
        <v>31</v>
      </c>
      <c r="B7" s="19">
        <f>COUNTIFS(tblCData[ACTION],"A")+COUNTIFS(tblCData[ACTION],"M")</f>
        <v>0</v>
      </c>
    </row>
  </sheetData>
  <sheetProtection algorithmName="SHA-512" hashValue="Xc0phdCp+pbFokmTLYcMCIu2pSOGUoNhnAS7/E81IlsdzWDomDeZNSjKG06oH4PC/qYxRriPTY3dA2sDW6nNnA==" saltValue="YuU5boV/Q/6fPss2g49wHQ==" spinCount="100000" sheet="1" objects="1" scenarios="1" autoFilter="0"/>
  <dataConsolidate/>
  <pageMargins left="0.7" right="0.7" top="0.75" bottom="0.75" header="0.3" footer="0.3"/>
  <pageSetup paperSize="9" orientation="portrait" r:id="rId1"/>
  <headerFooter>
    <oddFooter>&amp;L_x000D_&amp;1#&amp;"Calibri"&amp;10&amp;K000000 Classification : Private\FAB Staff Personal Data</oddFooter>
  </headerFooter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BC923E-7A91-469A-8AD4-149BDB8FAC8F}">
  <sheetPr codeName="sh11"/>
  <dimension ref="A1:D11"/>
  <sheetViews>
    <sheetView showGridLines="0" topLeftCell="B1" zoomScaleNormal="100" workbookViewId="0">
      <selection activeCell="B2" sqref="B2"/>
    </sheetView>
  </sheetViews>
  <sheetFormatPr defaultRowHeight="15" x14ac:dyDescent="0.25"/>
  <cols>
    <col min="1" max="1" width="14.7109375" hidden="1" customWidth="1"/>
    <col min="2" max="2" width="18.85546875" customWidth="1"/>
    <col min="3" max="3" width="67.42578125" style="3" customWidth="1"/>
    <col min="4" max="4" width="20.42578125" customWidth="1"/>
  </cols>
  <sheetData>
    <row r="1" spans="1:4" x14ac:dyDescent="0.25">
      <c r="A1" s="11" t="s">
        <v>4</v>
      </c>
      <c r="B1" s="12" t="s">
        <v>5</v>
      </c>
      <c r="C1" s="13" t="s">
        <v>6</v>
      </c>
      <c r="D1" s="6" t="s">
        <v>7</v>
      </c>
    </row>
    <row r="2" spans="1:4" ht="18.95" customHeight="1" x14ac:dyDescent="0.25">
      <c r="A2" s="36">
        <v>1</v>
      </c>
      <c r="B2" s="37" t="s">
        <v>8</v>
      </c>
      <c r="C2" s="38" t="s">
        <v>9</v>
      </c>
      <c r="D2" s="37" t="s">
        <v>3</v>
      </c>
    </row>
    <row r="3" spans="1:4" ht="18.95" customHeight="1" x14ac:dyDescent="0.25">
      <c r="A3" s="27">
        <v>2</v>
      </c>
      <c r="B3" s="27" t="s">
        <v>10</v>
      </c>
      <c r="C3" s="35" t="s">
        <v>9</v>
      </c>
      <c r="D3" s="27" t="s">
        <v>3</v>
      </c>
    </row>
    <row r="4" spans="1:4" ht="18.95" customHeight="1" x14ac:dyDescent="0.25">
      <c r="A4" s="27">
        <v>3</v>
      </c>
      <c r="B4" s="27" t="s">
        <v>11</v>
      </c>
      <c r="C4" s="35" t="s">
        <v>9</v>
      </c>
      <c r="D4" s="27" t="s">
        <v>3</v>
      </c>
    </row>
    <row r="5" spans="1:4" ht="18.95" customHeight="1" x14ac:dyDescent="0.25">
      <c r="A5" s="27">
        <v>4</v>
      </c>
      <c r="B5" s="27" t="s">
        <v>0</v>
      </c>
      <c r="C5" s="35" t="s">
        <v>9</v>
      </c>
      <c r="D5" s="27" t="s">
        <v>1</v>
      </c>
    </row>
    <row r="6" spans="1:4" ht="18.95" customHeight="1" x14ac:dyDescent="0.25">
      <c r="A6" s="27">
        <v>5</v>
      </c>
      <c r="B6" s="27" t="s">
        <v>12</v>
      </c>
      <c r="C6" s="35" t="s">
        <v>76</v>
      </c>
      <c r="D6" s="27"/>
    </row>
    <row r="7" spans="1:4" ht="54" customHeight="1" x14ac:dyDescent="0.25">
      <c r="A7" s="27">
        <v>6</v>
      </c>
      <c r="B7" s="27" t="s">
        <v>13</v>
      </c>
      <c r="C7" s="35" t="s">
        <v>77</v>
      </c>
      <c r="D7" s="27"/>
    </row>
    <row r="8" spans="1:4" ht="18.95" customHeight="1" x14ac:dyDescent="0.25">
      <c r="A8" s="27">
        <v>7</v>
      </c>
      <c r="B8" s="27" t="s">
        <v>14</v>
      </c>
      <c r="C8" s="35" t="s">
        <v>15</v>
      </c>
      <c r="D8" s="27"/>
    </row>
    <row r="9" spans="1:4" x14ac:dyDescent="0.25">
      <c r="A9" s="27">
        <v>8</v>
      </c>
      <c r="B9" s="27" t="s">
        <v>68</v>
      </c>
      <c r="C9" s="35" t="s">
        <v>9</v>
      </c>
      <c r="D9" s="27" t="s">
        <v>1</v>
      </c>
    </row>
    <row r="10" spans="1:4" x14ac:dyDescent="0.25">
      <c r="A10" s="27">
        <v>9</v>
      </c>
      <c r="B10" s="27" t="s">
        <v>65</v>
      </c>
      <c r="C10" s="35" t="s">
        <v>72</v>
      </c>
      <c r="D10" s="27"/>
    </row>
    <row r="11" spans="1:4" x14ac:dyDescent="0.25">
      <c r="A11" s="27">
        <v>10</v>
      </c>
      <c r="B11" s="27" t="s">
        <v>67</v>
      </c>
      <c r="C11" s="35" t="s">
        <v>75</v>
      </c>
      <c r="D11" s="27" t="s">
        <v>70</v>
      </c>
    </row>
  </sheetData>
  <sheetProtection algorithmName="SHA-512" hashValue="ieL5ht6UyNLODnbnOTRLghuW/ffFkGHz+4QFmfxFwjhAYjhSjxxxUXbCsvx5xc/jWDzHZ6/zfsmQtnzglJlemQ==" saltValue="1yTh/t5avw6GiykU/XgHHw==" spinCount="100000" sheet="1" objects="1" scenarios="1" autoFilter="0"/>
  <pageMargins left="0.7" right="0.7" top="0.75" bottom="0.75" header="0.3" footer="0.3"/>
  <pageSetup paperSize="9" orientation="portrait" r:id="rId1"/>
  <headerFooter>
    <oddFooter>&amp;L_x000D_&amp;1#&amp;"Calibri"&amp;10&amp;K000000 Classification : Private\FAB Staff Personal Data</oddFooter>
  </headerFooter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OBJECT_REPO</vt:lpstr>
      <vt:lpstr>FUNC_MASTER</vt:lpstr>
      <vt:lpstr>SUBFUNC_MASTER</vt:lpstr>
      <vt:lpstr>SUBFUNC_STEPS</vt:lpstr>
      <vt:lpstr>API</vt:lpstr>
      <vt:lpstr>FUNC_SUBFUNC_MAP</vt:lpstr>
      <vt:lpstr>SCN_FUNC_BATCHING</vt:lpstr>
      <vt:lpstr>SCN_STEPS_GENERATOR</vt:lpstr>
      <vt:lpstr>RUN_TIME_DATA</vt:lpstr>
      <vt:lpstr>RUNCHART</vt:lpstr>
      <vt:lpstr>COMMON_DATA</vt:lpstr>
      <vt:lpstr>LIST_ENUMS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Rajendra Biradar</dc:creator>
  <cp:lastModifiedBy>kumaran.thirunavukkarasu@yahoo.com</cp:lastModifiedBy>
  <dcterms:created xsi:type="dcterms:W3CDTF">2023-09-17T14:06:33Z</dcterms:created>
  <dcterms:modified xsi:type="dcterms:W3CDTF">2025-04-24T10:22:51Z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b01c791-7230-4e94-9969-17c748e16c53_Enabled">
    <vt:lpwstr>true</vt:lpwstr>
  </property>
  <property fmtid="{D5CDD505-2E9C-101B-9397-08002B2CF9AE}" pid="3" name="MSIP_Label_8b01c791-7230-4e94-9969-17c748e16c53_SetDate">
    <vt:lpwstr>2023-12-23T09:22:13Z</vt:lpwstr>
  </property>
  <property fmtid="{D5CDD505-2E9C-101B-9397-08002B2CF9AE}" pid="4" name="MSIP_Label_8b01c791-7230-4e94-9969-17c748e16c53_Method">
    <vt:lpwstr>Privileged</vt:lpwstr>
  </property>
  <property fmtid="{D5CDD505-2E9C-101B-9397-08002B2CF9AE}" pid="5" name="MSIP_Label_8b01c791-7230-4e94-9969-17c748e16c53_Name">
    <vt:lpwstr>FAB Staff Personal Data</vt:lpwstr>
  </property>
  <property fmtid="{D5CDD505-2E9C-101B-9397-08002B2CF9AE}" pid="6" name="MSIP_Label_8b01c791-7230-4e94-9969-17c748e16c53_SiteId">
    <vt:lpwstr>7bc93881-0733-48ab-baa1-ee3ed7717633</vt:lpwstr>
  </property>
  <property fmtid="{D5CDD505-2E9C-101B-9397-08002B2CF9AE}" pid="7" name="MSIP_Label_8b01c791-7230-4e94-9969-17c748e16c53_ActionId">
    <vt:lpwstr>f3a3cc28-e307-496b-86cd-49a0dec63a08</vt:lpwstr>
  </property>
  <property fmtid="{D5CDD505-2E9C-101B-9397-08002B2CF9AE}" pid="8" name="MSIP_Label_8b01c791-7230-4e94-9969-17c748e16c53_ContentBits">
    <vt:lpwstr>2</vt:lpwstr>
  </property>
</Properties>
</file>